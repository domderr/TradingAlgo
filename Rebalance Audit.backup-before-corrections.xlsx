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Il mio Drive\TradingAlgo\"/>
    </mc:Choice>
  </mc:AlternateContent>
  <xr:revisionPtr revIDLastSave="0" documentId="13_ncr:1_{D4729E7F-0F77-462A-B98C-76DC1ACF89D1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3" i="1" l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F64" i="1"/>
  <c r="F57" i="1"/>
  <c r="G57" i="1" s="1"/>
  <c r="F41" i="1"/>
  <c r="G41" i="1" s="1"/>
  <c r="F3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E55" i="1"/>
  <c r="E50" i="1"/>
  <c r="E46" i="1"/>
  <c r="E39" i="1"/>
  <c r="G34" i="1"/>
  <c r="E34" i="1"/>
  <c r="H33" i="1"/>
  <c r="N10" i="1"/>
  <c r="O10" i="1" s="1"/>
  <c r="N11" i="1"/>
  <c r="F42" i="1" s="1"/>
  <c r="G42" i="1" s="1"/>
  <c r="N19" i="1"/>
  <c r="F50" i="1" s="1"/>
  <c r="G50" i="1" s="1"/>
  <c r="N26" i="1"/>
  <c r="O26" i="1" s="1"/>
  <c r="N27" i="1"/>
  <c r="F58" i="1" s="1"/>
  <c r="G58" i="1" s="1"/>
  <c r="O3" i="1"/>
  <c r="N3" i="1"/>
  <c r="K4" i="1"/>
  <c r="L4" i="1" s="1"/>
  <c r="N4" i="1" s="1"/>
  <c r="K5" i="1"/>
  <c r="L5" i="1" s="1"/>
  <c r="N5" i="1" s="1"/>
  <c r="K6" i="1"/>
  <c r="K7" i="1"/>
  <c r="L7" i="1" s="1"/>
  <c r="N7" i="1" s="1"/>
  <c r="K8" i="1"/>
  <c r="K9" i="1"/>
  <c r="L9" i="1" s="1"/>
  <c r="N9" i="1" s="1"/>
  <c r="K10" i="1"/>
  <c r="K11" i="1"/>
  <c r="L11" i="1" s="1"/>
  <c r="K12" i="1"/>
  <c r="K13" i="1"/>
  <c r="K14" i="1"/>
  <c r="K15" i="1"/>
  <c r="L15" i="1" s="1"/>
  <c r="N15" i="1" s="1"/>
  <c r="K16" i="1"/>
  <c r="L16" i="1" s="1"/>
  <c r="N16" i="1" s="1"/>
  <c r="K17" i="1"/>
  <c r="L17" i="1" s="1"/>
  <c r="N17" i="1" s="1"/>
  <c r="K18" i="1"/>
  <c r="K19" i="1"/>
  <c r="L19" i="1" s="1"/>
  <c r="K20" i="1"/>
  <c r="L20" i="1" s="1"/>
  <c r="N20" i="1" s="1"/>
  <c r="K21" i="1"/>
  <c r="L21" i="1" s="1"/>
  <c r="N21" i="1" s="1"/>
  <c r="K22" i="1"/>
  <c r="K23" i="1"/>
  <c r="L23" i="1" s="1"/>
  <c r="N23" i="1" s="1"/>
  <c r="K24" i="1"/>
  <c r="K25" i="1"/>
  <c r="L25" i="1" s="1"/>
  <c r="N25" i="1" s="1"/>
  <c r="K26" i="1"/>
  <c r="K27" i="1"/>
  <c r="L27" i="1" s="1"/>
  <c r="K28" i="1"/>
  <c r="K29" i="1"/>
  <c r="K30" i="1"/>
  <c r="K31" i="1"/>
  <c r="L31" i="1" s="1"/>
  <c r="N31" i="1" s="1"/>
  <c r="K32" i="1"/>
  <c r="L32" i="1" s="1"/>
  <c r="N32" i="1" s="1"/>
  <c r="K3" i="1"/>
  <c r="L6" i="1"/>
  <c r="N6" i="1" s="1"/>
  <c r="L8" i="1"/>
  <c r="N8" i="1" s="1"/>
  <c r="L10" i="1"/>
  <c r="L12" i="1"/>
  <c r="N12" i="1" s="1"/>
  <c r="L13" i="1"/>
  <c r="N13" i="1" s="1"/>
  <c r="L14" i="1"/>
  <c r="N14" i="1" s="1"/>
  <c r="L18" i="1"/>
  <c r="N18" i="1" s="1"/>
  <c r="L22" i="1"/>
  <c r="N22" i="1" s="1"/>
  <c r="L24" i="1"/>
  <c r="N24" i="1" s="1"/>
  <c r="L26" i="1"/>
  <c r="L28" i="1"/>
  <c r="N28" i="1" s="1"/>
  <c r="L29" i="1"/>
  <c r="N29" i="1" s="1"/>
  <c r="L30" i="1"/>
  <c r="N30" i="1" s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E24" i="1"/>
  <c r="E19" i="1"/>
  <c r="E15" i="1"/>
  <c r="E8" i="1"/>
  <c r="E3" i="1"/>
  <c r="O14" i="1" l="1"/>
  <c r="F45" i="1"/>
  <c r="G45" i="1" s="1"/>
  <c r="O8" i="1"/>
  <c r="F39" i="1"/>
  <c r="G39" i="1" s="1"/>
  <c r="F54" i="1"/>
  <c r="G54" i="1" s="1"/>
  <c r="O23" i="1"/>
  <c r="F46" i="1"/>
  <c r="G46" i="1" s="1"/>
  <c r="O15" i="1"/>
  <c r="F38" i="1"/>
  <c r="G38" i="1" s="1"/>
  <c r="O7" i="1"/>
  <c r="O30" i="1"/>
  <c r="F61" i="1"/>
  <c r="G61" i="1" s="1"/>
  <c r="O24" i="1"/>
  <c r="F55" i="1"/>
  <c r="G55" i="1" s="1"/>
  <c r="F44" i="1"/>
  <c r="G44" i="1" s="1"/>
  <c r="O13" i="1"/>
  <c r="O6" i="1"/>
  <c r="F37" i="1"/>
  <c r="G37" i="1" s="1"/>
  <c r="F60" i="1"/>
  <c r="G60" i="1" s="1"/>
  <c r="O29" i="1"/>
  <c r="F36" i="1"/>
  <c r="G36" i="1" s="1"/>
  <c r="O5" i="1"/>
  <c r="F62" i="1"/>
  <c r="G62" i="1" s="1"/>
  <c r="O31" i="1"/>
  <c r="O22" i="1"/>
  <c r="F53" i="1"/>
  <c r="G53" i="1" s="1"/>
  <c r="O12" i="1"/>
  <c r="F43" i="1"/>
  <c r="G43" i="1" s="1"/>
  <c r="F56" i="1"/>
  <c r="G56" i="1" s="1"/>
  <c r="O25" i="1"/>
  <c r="F52" i="1"/>
  <c r="O21" i="1"/>
  <c r="F48" i="1"/>
  <c r="O17" i="1"/>
  <c r="F40" i="1"/>
  <c r="O9" i="1"/>
  <c r="O28" i="1"/>
  <c r="F59" i="1"/>
  <c r="G59" i="1" s="1"/>
  <c r="O18" i="1"/>
  <c r="F49" i="1"/>
  <c r="G49" i="1" s="1"/>
  <c r="O32" i="1"/>
  <c r="F63" i="1"/>
  <c r="G63" i="1" s="1"/>
  <c r="O20" i="1"/>
  <c r="F51" i="1"/>
  <c r="G51" i="1" s="1"/>
  <c r="O16" i="1"/>
  <c r="F47" i="1"/>
  <c r="G47" i="1" s="1"/>
  <c r="O4" i="1"/>
  <c r="F35" i="1"/>
  <c r="G35" i="1" s="1"/>
  <c r="O27" i="1"/>
  <c r="O19" i="1"/>
  <c r="O11" i="1"/>
  <c r="G40" i="1"/>
  <c r="G48" i="1"/>
  <c r="G52" i="1"/>
  <c r="G33" i="1"/>
  <c r="P30" i="1" l="1"/>
  <c r="H55" i="1"/>
  <c r="L55" i="1" s="1"/>
  <c r="N55" i="1" s="1"/>
  <c r="O55" i="1" s="1"/>
  <c r="P55" i="1" s="1"/>
  <c r="P8" i="1"/>
  <c r="P11" i="1"/>
  <c r="P29" i="1"/>
  <c r="H40" i="1"/>
  <c r="L40" i="1" s="1"/>
  <c r="N40" i="1" s="1"/>
  <c r="O40" i="1" s="1"/>
  <c r="P40" i="1" s="1"/>
  <c r="H43" i="1"/>
  <c r="L43" i="1" s="1"/>
  <c r="N43" i="1" s="1"/>
  <c r="O43" i="1" s="1"/>
  <c r="P43" i="1" s="1"/>
  <c r="P27" i="1"/>
  <c r="P4" i="1"/>
  <c r="O33" i="1"/>
  <c r="P16" i="1" s="1"/>
  <c r="P18" i="1"/>
  <c r="P12" i="1"/>
  <c r="P5" i="1"/>
  <c r="P6" i="1"/>
  <c r="P24" i="1"/>
  <c r="P23" i="1"/>
  <c r="P32" i="1"/>
  <c r="P15" i="1"/>
  <c r="G64" i="1"/>
  <c r="H60" i="1" s="1"/>
  <c r="L60" i="1" s="1"/>
  <c r="N60" i="1" s="1"/>
  <c r="O60" i="1" s="1"/>
  <c r="P60" i="1" s="1"/>
  <c r="P9" i="1"/>
  <c r="P21" i="1"/>
  <c r="L47" i="1"/>
  <c r="N47" i="1" s="1"/>
  <c r="O47" i="1" s="1"/>
  <c r="P47" i="1" s="1"/>
  <c r="H47" i="1"/>
  <c r="H63" i="1"/>
  <c r="L63" i="1" s="1"/>
  <c r="N63" i="1" s="1"/>
  <c r="O63" i="1" s="1"/>
  <c r="P63" i="1" s="1"/>
  <c r="L59" i="1"/>
  <c r="N59" i="1" s="1"/>
  <c r="O59" i="1" s="1"/>
  <c r="P59" i="1" s="1"/>
  <c r="H59" i="1"/>
  <c r="P25" i="1"/>
  <c r="L53" i="1"/>
  <c r="N53" i="1" s="1"/>
  <c r="O53" i="1" s="1"/>
  <c r="P53" i="1" s="1"/>
  <c r="H53" i="1"/>
  <c r="P13" i="1"/>
  <c r="L61" i="1"/>
  <c r="N61" i="1" s="1"/>
  <c r="O61" i="1" s="1"/>
  <c r="P61" i="1" s="1"/>
  <c r="H61" i="1"/>
  <c r="H38" i="1"/>
  <c r="L38" i="1" s="1"/>
  <c r="N38" i="1" s="1"/>
  <c r="O38" i="1" s="1"/>
  <c r="P38" i="1" s="1"/>
  <c r="L54" i="1"/>
  <c r="N54" i="1" s="1"/>
  <c r="O54" i="1" s="1"/>
  <c r="P54" i="1" s="1"/>
  <c r="H54" i="1"/>
  <c r="P14" i="1"/>
  <c r="H52" i="1" l="1"/>
  <c r="L52" i="1" s="1"/>
  <c r="N52" i="1" s="1"/>
  <c r="O52" i="1" s="1"/>
  <c r="P52" i="1" s="1"/>
  <c r="H35" i="1"/>
  <c r="L35" i="1" s="1"/>
  <c r="N35" i="1" s="1"/>
  <c r="O35" i="1" s="1"/>
  <c r="P35" i="1" s="1"/>
  <c r="H39" i="1"/>
  <c r="L39" i="1" s="1"/>
  <c r="N39" i="1" s="1"/>
  <c r="O39" i="1" s="1"/>
  <c r="P39" i="1" s="1"/>
  <c r="H36" i="1"/>
  <c r="L36" i="1" s="1"/>
  <c r="N36" i="1" s="1"/>
  <c r="O36" i="1" s="1"/>
  <c r="P36" i="1" s="1"/>
  <c r="P17" i="1"/>
  <c r="P31" i="1"/>
  <c r="P19" i="1"/>
  <c r="H48" i="1"/>
  <c r="L48" i="1" s="1"/>
  <c r="N48" i="1" s="1"/>
  <c r="O48" i="1" s="1"/>
  <c r="P48" i="1" s="1"/>
  <c r="P7" i="1"/>
  <c r="H62" i="1"/>
  <c r="L62" i="1" s="1"/>
  <c r="N62" i="1" s="1"/>
  <c r="O62" i="1" s="1"/>
  <c r="P62" i="1" s="1"/>
  <c r="P20" i="1"/>
  <c r="H37" i="1"/>
  <c r="L37" i="1" s="1"/>
  <c r="N37" i="1" s="1"/>
  <c r="O37" i="1" s="1"/>
  <c r="P37" i="1" s="1"/>
  <c r="H51" i="1"/>
  <c r="L51" i="1" s="1"/>
  <c r="N51" i="1" s="1"/>
  <c r="O51" i="1" s="1"/>
  <c r="P51" i="1" s="1"/>
  <c r="P22" i="1"/>
  <c r="H46" i="1"/>
  <c r="L46" i="1" s="1"/>
  <c r="N46" i="1" s="1"/>
  <c r="O46" i="1" s="1"/>
  <c r="P46" i="1" s="1"/>
  <c r="H34" i="1"/>
  <c r="H42" i="1"/>
  <c r="L42" i="1" s="1"/>
  <c r="N42" i="1" s="1"/>
  <c r="O42" i="1" s="1"/>
  <c r="P42" i="1" s="1"/>
  <c r="H57" i="1"/>
  <c r="L57" i="1" s="1"/>
  <c r="N57" i="1" s="1"/>
  <c r="O57" i="1" s="1"/>
  <c r="P57" i="1" s="1"/>
  <c r="H58" i="1"/>
  <c r="L58" i="1" s="1"/>
  <c r="N58" i="1" s="1"/>
  <c r="O58" i="1" s="1"/>
  <c r="P58" i="1" s="1"/>
  <c r="H41" i="1"/>
  <c r="L41" i="1" s="1"/>
  <c r="N41" i="1" s="1"/>
  <c r="O41" i="1" s="1"/>
  <c r="P41" i="1" s="1"/>
  <c r="H50" i="1"/>
  <c r="L50" i="1" s="1"/>
  <c r="N50" i="1" s="1"/>
  <c r="O50" i="1" s="1"/>
  <c r="P50" i="1" s="1"/>
  <c r="H45" i="1"/>
  <c r="L45" i="1" s="1"/>
  <c r="N45" i="1" s="1"/>
  <c r="O45" i="1" s="1"/>
  <c r="P45" i="1" s="1"/>
  <c r="P33" i="1"/>
  <c r="P3" i="1"/>
  <c r="P10" i="1"/>
  <c r="P26" i="1"/>
  <c r="H44" i="1"/>
  <c r="L44" i="1" s="1"/>
  <c r="N44" i="1" s="1"/>
  <c r="O44" i="1" s="1"/>
  <c r="P44" i="1" s="1"/>
  <c r="P28" i="1"/>
  <c r="H49" i="1"/>
  <c r="L49" i="1" s="1"/>
  <c r="N49" i="1" s="1"/>
  <c r="O49" i="1" s="1"/>
  <c r="P49" i="1" s="1"/>
  <c r="H56" i="1"/>
  <c r="L56" i="1" s="1"/>
  <c r="N56" i="1" s="1"/>
  <c r="O56" i="1" s="1"/>
  <c r="P56" i="1" s="1"/>
  <c r="H64" i="1" l="1"/>
  <c r="L34" i="1"/>
  <c r="N34" i="1" s="1"/>
  <c r="O34" i="1" s="1"/>
  <c r="P34" i="1" l="1"/>
  <c r="O64" i="1"/>
  <c r="P64" i="1" s="1"/>
</calcChain>
</file>

<file path=xl/sharedStrings.xml><?xml version="1.0" encoding="utf-8"?>
<sst xmlns="http://schemas.openxmlformats.org/spreadsheetml/2006/main" count="144" uniqueCount="51">
  <si>
    <t>Market</t>
  </si>
  <si>
    <t>WeekEnding</t>
  </si>
  <si>
    <t>Asset</t>
  </si>
  <si>
    <t>qty</t>
  </si>
  <si>
    <t>value</t>
  </si>
  <si>
    <t>last price</t>
  </si>
  <si>
    <t>AAPL</t>
  </si>
  <si>
    <t>AMGN</t>
  </si>
  <si>
    <t>AMZN</t>
  </si>
  <si>
    <t>AXP</t>
  </si>
  <si>
    <t>BA</t>
  </si>
  <si>
    <t>CAT</t>
  </si>
  <si>
    <t>CRM</t>
  </si>
  <si>
    <t>CSCO</t>
  </si>
  <si>
    <t>CVX</t>
  </si>
  <si>
    <t>DIS</t>
  </si>
  <si>
    <t>GS</t>
  </si>
  <si>
    <t>HD</t>
  </si>
  <si>
    <t>HON</t>
  </si>
  <si>
    <t>IBM</t>
  </si>
  <si>
    <t>JNJ</t>
  </si>
  <si>
    <t>JPM</t>
  </si>
  <si>
    <t>KO</t>
  </si>
  <si>
    <t>MCD</t>
  </si>
  <si>
    <t>MMM</t>
  </si>
  <si>
    <t>MRK</t>
  </si>
  <si>
    <t>MSFT</t>
  </si>
  <si>
    <t>NKE</t>
  </si>
  <si>
    <t>NVDA</t>
  </si>
  <si>
    <t>PG</t>
  </si>
  <si>
    <t>SHW</t>
  </si>
  <si>
    <t>TRV</t>
  </si>
  <si>
    <t>UNH</t>
  </si>
  <si>
    <t>V</t>
  </si>
  <si>
    <t>VZ</t>
  </si>
  <si>
    <t>WMT</t>
  </si>
  <si>
    <t>Tot Portfolio</t>
  </si>
  <si>
    <t>Status</t>
  </si>
  <si>
    <t>SELECTED</t>
  </si>
  <si>
    <t>weight%</t>
  </si>
  <si>
    <t>DJ30</t>
  </si>
  <si>
    <t>before rebalancement</t>
  </si>
  <si>
    <t>Positions</t>
  </si>
  <si>
    <t>after rebalancement</t>
  </si>
  <si>
    <t>Value</t>
  </si>
  <si>
    <t>REJECTED</t>
  </si>
  <si>
    <t>target weight%</t>
  </si>
  <si>
    <t>value change</t>
  </si>
  <si>
    <t>qty change</t>
  </si>
  <si>
    <t>rebalancements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</si>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</sst>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 applyBorder="1"/>
    <xf numFmtId="0" fontId="0" fillId="0" borderId="1" xfId="0" applyBorder="1"/>
    <xf numFmtId="0" fontId="0" fillId="0" borderId="2" xfId="0" applyBorder="1"/>
    <xf numFmtId="16" fontId="0" fillId="0" borderId="2" xfId="0" applyNumberFormat="1" applyBorder="1"/>
    <xf numFmtId="0" fontId="1" fillId="0" borderId="2" xfId="0" applyFont="1" applyBorder="1"/>
    <xf numFmtId="0" fontId="0" fillId="0" borderId="3" xfId="0" applyBorder="1"/>
    <xf numFmtId="0" fontId="1" fillId="0" borderId="0" xfId="0" applyFont="1" applyBorder="1"/>
    <xf numFmtId="0" fontId="0" fillId="0" borderId="7" xfId="0" applyFont="1" applyBorder="1"/>
    <xf numFmtId="0" fontId="0" fillId="0" borderId="7" xfId="0" applyFill="1" applyBorder="1"/>
    <xf numFmtId="0" fontId="0" fillId="0" borderId="8" xfId="0" applyFill="1" applyBorder="1"/>
    <xf numFmtId="9" fontId="0" fillId="0" borderId="5" xfId="2" applyFont="1" applyBorder="1"/>
    <xf numFmtId="9" fontId="0" fillId="0" borderId="8" xfId="2" applyFont="1" applyBorder="1"/>
    <xf numFmtId="9" fontId="0" fillId="0" borderId="0" xfId="2" applyFont="1"/>
    <xf numFmtId="165" fontId="0" fillId="0" borderId="0" xfId="0" applyNumberFormat="1" applyBorder="1"/>
    <xf numFmtId="165" fontId="0" fillId="0" borderId="0" xfId="1" applyNumberFormat="1" applyFont="1" applyBorder="1"/>
    <xf numFmtId="0" fontId="0" fillId="2" borderId="4" xfId="0" applyFill="1" applyBorder="1"/>
    <xf numFmtId="0" fontId="0" fillId="3" borderId="4" xfId="0" applyFill="1" applyBorder="1"/>
    <xf numFmtId="165" fontId="0" fillId="0" borderId="7" xfId="1" applyNumberFormat="1" applyFont="1" applyBorder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2" xfId="0" applyNumberFormat="1" applyBorder="1"/>
    <xf numFmtId="9" fontId="0" fillId="0" borderId="3" xfId="2" applyFont="1" applyBorder="1"/>
    <xf numFmtId="165" fontId="0" fillId="0" borderId="4" xfId="1" applyNumberFormat="1" applyFont="1" applyBorder="1"/>
    <xf numFmtId="0" fontId="0" fillId="4" borderId="4" xfId="0" applyFill="1" applyBorder="1"/>
    <xf numFmtId="0" fontId="0" fillId="3" borderId="6" xfId="0" applyFill="1" applyBorder="1"/>
  </cellXfs>
  <cellStyles count="3">
    <cellStyle name="Migliaia" xfId="1" builtinId="3"/>
    <cellStyle name="Normale" xfId="0" builtinId="0"/>
    <cellStyle name="Percentual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selection activeCell="I55" sqref="I55"/>
    </sheetView>
  </sheetViews>
  <sheetFormatPr defaultRowHeight="15" x14ac:dyDescent="0.25"/>
  <cols>
    <col min="3" max="3" width="18.28515625" bestFit="1" customWidth="1"/>
    <col min="4" max="4" width="8.7109375" customWidth="1"/>
    <col min="5" max="5" width="10.7109375" customWidth="1"/>
    <col min="6" max="6" width="6.42578125" customWidth="1"/>
    <col min="8" max="8" width="9.140625" style="23"/>
    <col min="9" max="9" width="11.7109375" customWidth="1"/>
    <col min="10" max="10" width="14.7109375" customWidth="1"/>
    <col min="11" max="11" width="13.42578125" style="1" customWidth="1"/>
    <col min="12" max="12" width="10.5703125" customWidth="1"/>
    <col min="13" max="16" width="9.140625" style="6"/>
  </cols>
  <sheetData>
    <row r="1" spans="1:16" x14ac:dyDescent="0.25">
      <c r="A1" s="12"/>
      <c r="B1" s="13"/>
      <c r="C1" s="13"/>
      <c r="D1" s="13"/>
      <c r="E1" s="2" t="s">
        <v>41</v>
      </c>
      <c r="F1" s="3"/>
      <c r="G1" s="3"/>
      <c r="H1" s="4"/>
      <c r="I1" s="2" t="s">
        <v>49</v>
      </c>
      <c r="J1" s="3"/>
      <c r="K1" s="3"/>
      <c r="L1" s="3"/>
      <c r="M1" s="29"/>
      <c r="N1" s="13" t="s">
        <v>43</v>
      </c>
      <c r="O1" s="13"/>
      <c r="P1" s="16"/>
    </row>
    <row r="2" spans="1:16" x14ac:dyDescent="0.25">
      <c r="A2" s="8" t="s">
        <v>0</v>
      </c>
      <c r="B2" s="9" t="s">
        <v>1</v>
      </c>
      <c r="C2" s="9" t="s">
        <v>2</v>
      </c>
      <c r="D2" s="9" t="s">
        <v>5</v>
      </c>
      <c r="E2" s="8" t="s">
        <v>42</v>
      </c>
      <c r="F2" s="9" t="s">
        <v>3</v>
      </c>
      <c r="G2" s="9" t="s">
        <v>4</v>
      </c>
      <c r="H2" s="22" t="s">
        <v>39</v>
      </c>
      <c r="I2" s="8" t="s">
        <v>37</v>
      </c>
      <c r="J2" s="9" t="s">
        <v>46</v>
      </c>
      <c r="K2" s="28" t="s">
        <v>47</v>
      </c>
      <c r="L2" s="9" t="s">
        <v>48</v>
      </c>
      <c r="M2" s="8"/>
      <c r="N2" s="19" t="s">
        <v>3</v>
      </c>
      <c r="O2" s="19" t="s">
        <v>44</v>
      </c>
      <c r="P2" s="20" t="s">
        <v>39</v>
      </c>
    </row>
    <row r="3" spans="1:16" x14ac:dyDescent="0.25">
      <c r="A3" s="12" t="s">
        <v>40</v>
      </c>
      <c r="B3" s="14">
        <v>46192</v>
      </c>
      <c r="C3" s="15" t="s">
        <v>6</v>
      </c>
      <c r="D3" s="16">
        <v>110</v>
      </c>
      <c r="E3" s="5" t="str">
        <f>+C3</f>
        <v>AAPL</v>
      </c>
      <c r="F3" s="6">
        <v>200</v>
      </c>
      <c r="G3" s="6">
        <f>+F3*D3</f>
        <v>22000</v>
      </c>
      <c r="H3" s="21">
        <f>+G3/$G$33</f>
        <v>0.22821576763485477</v>
      </c>
      <c r="I3" s="26" t="s">
        <v>38</v>
      </c>
      <c r="J3" s="11">
        <v>0.2</v>
      </c>
      <c r="K3" s="25">
        <f>+(J3-H3)*$G$33</f>
        <v>-2719.9999999999982</v>
      </c>
      <c r="L3" s="25">
        <f>+K3/D3</f>
        <v>-24.727272727272712</v>
      </c>
      <c r="M3" s="30" t="str">
        <f>+E3</f>
        <v>AAPL</v>
      </c>
      <c r="N3" s="31">
        <f>+F3+L3</f>
        <v>175.27272727272728</v>
      </c>
      <c r="O3" s="13">
        <f>+N3*D3</f>
        <v>19280</v>
      </c>
      <c r="P3" s="32">
        <f>+O3/$O$33</f>
        <v>0.2</v>
      </c>
    </row>
    <row r="4" spans="1:16" x14ac:dyDescent="0.25">
      <c r="A4" s="5"/>
      <c r="B4" s="6"/>
      <c r="C4" s="17" t="s">
        <v>7</v>
      </c>
      <c r="D4" s="7">
        <v>100</v>
      </c>
      <c r="E4" s="5"/>
      <c r="F4" s="6"/>
      <c r="G4" s="6">
        <f t="shared" ref="G4:G32" si="0">+F4*D4</f>
        <v>0</v>
      </c>
      <c r="H4" s="21">
        <f t="shared" ref="H4:H32" si="1">+G4/$G$33</f>
        <v>0</v>
      </c>
      <c r="I4" s="34" t="s">
        <v>50</v>
      </c>
      <c r="J4" s="6"/>
      <c r="K4" s="25">
        <f t="shared" ref="K4:K32" si="2">+(J4-H4)*$G$33</f>
        <v>0</v>
      </c>
      <c r="L4" s="25">
        <f t="shared" ref="L4:L32" si="3">+K4/D4</f>
        <v>0</v>
      </c>
      <c r="M4" s="33">
        <f t="shared" ref="M4:M33" si="4">+E4</f>
        <v>0</v>
      </c>
      <c r="N4" s="24">
        <f t="shared" ref="N4:N32" si="5">+F4+L4</f>
        <v>0</v>
      </c>
      <c r="O4" s="6">
        <f t="shared" ref="O4:O32" si="6">+N4*D4</f>
        <v>0</v>
      </c>
      <c r="P4" s="21">
        <f t="shared" ref="P4:P64" si="7">+O4/$O$33</f>
        <v>0</v>
      </c>
    </row>
    <row r="5" spans="1:16" x14ac:dyDescent="0.25">
      <c r="A5" s="5"/>
      <c r="B5" s="6"/>
      <c r="C5" s="17" t="s">
        <v>8</v>
      </c>
      <c r="D5" s="7">
        <v>100</v>
      </c>
      <c r="E5" s="5"/>
      <c r="F5" s="6"/>
      <c r="G5" s="6">
        <f t="shared" si="0"/>
        <v>0</v>
      </c>
      <c r="H5" s="21">
        <f t="shared" si="1"/>
        <v>0</v>
      </c>
      <c r="I5" s="34" t="s">
        <v>50</v>
      </c>
      <c r="J5" s="6"/>
      <c r="K5" s="25">
        <f t="shared" si="2"/>
        <v>0</v>
      </c>
      <c r="L5" s="25">
        <f t="shared" si="3"/>
        <v>0</v>
      </c>
      <c r="M5" s="33">
        <f t="shared" si="4"/>
        <v>0</v>
      </c>
      <c r="N5" s="24">
        <f t="shared" si="5"/>
        <v>0</v>
      </c>
      <c r="O5" s="6">
        <f t="shared" si="6"/>
        <v>0</v>
      </c>
      <c r="P5" s="21">
        <f t="shared" si="7"/>
        <v>0</v>
      </c>
    </row>
    <row r="6" spans="1:16" x14ac:dyDescent="0.25">
      <c r="A6" s="5"/>
      <c r="B6" s="6"/>
      <c r="C6" s="17" t="s">
        <v>9</v>
      </c>
      <c r="D6" s="7">
        <v>100</v>
      </c>
      <c r="E6" s="5"/>
      <c r="F6" s="6"/>
      <c r="G6" s="6">
        <f t="shared" si="0"/>
        <v>0</v>
      </c>
      <c r="H6" s="21">
        <f t="shared" si="1"/>
        <v>0</v>
      </c>
      <c r="I6" s="34" t="s">
        <v>50</v>
      </c>
      <c r="J6" s="6"/>
      <c r="K6" s="25">
        <f t="shared" si="2"/>
        <v>0</v>
      </c>
      <c r="L6" s="25">
        <f t="shared" si="3"/>
        <v>0</v>
      </c>
      <c r="M6" s="33">
        <f t="shared" si="4"/>
        <v>0</v>
      </c>
      <c r="N6" s="24">
        <f t="shared" si="5"/>
        <v>0</v>
      </c>
      <c r="O6" s="6">
        <f t="shared" si="6"/>
        <v>0</v>
      </c>
      <c r="P6" s="21">
        <f t="shared" si="7"/>
        <v>0</v>
      </c>
    </row>
    <row r="7" spans="1:16" x14ac:dyDescent="0.25">
      <c r="A7" s="5"/>
      <c r="B7" s="6"/>
      <c r="C7" s="17" t="s">
        <v>10</v>
      </c>
      <c r="D7" s="7">
        <v>100</v>
      </c>
      <c r="E7" s="5"/>
      <c r="F7" s="6"/>
      <c r="G7" s="6">
        <f t="shared" si="0"/>
        <v>0</v>
      </c>
      <c r="H7" s="21">
        <f t="shared" si="1"/>
        <v>0</v>
      </c>
      <c r="I7" s="34" t="s">
        <v>50</v>
      </c>
      <c r="J7" s="6"/>
      <c r="K7" s="25">
        <f t="shared" si="2"/>
        <v>0</v>
      </c>
      <c r="L7" s="25">
        <f t="shared" si="3"/>
        <v>0</v>
      </c>
      <c r="M7" s="33">
        <f t="shared" si="4"/>
        <v>0</v>
      </c>
      <c r="N7" s="24">
        <f t="shared" si="5"/>
        <v>0</v>
      </c>
      <c r="O7" s="6">
        <f t="shared" si="6"/>
        <v>0</v>
      </c>
      <c r="P7" s="21">
        <f t="shared" si="7"/>
        <v>0</v>
      </c>
    </row>
    <row r="8" spans="1:16" x14ac:dyDescent="0.25">
      <c r="A8" s="5"/>
      <c r="B8" s="6"/>
      <c r="C8" s="17" t="s">
        <v>11</v>
      </c>
      <c r="D8" s="7">
        <v>90</v>
      </c>
      <c r="E8" s="5" t="str">
        <f>+C8</f>
        <v>CAT</v>
      </c>
      <c r="F8" s="6">
        <v>200</v>
      </c>
      <c r="G8" s="6">
        <f t="shared" si="0"/>
        <v>18000</v>
      </c>
      <c r="H8" s="21">
        <f t="shared" si="1"/>
        <v>0.18672199170124482</v>
      </c>
      <c r="I8" s="26" t="s">
        <v>38</v>
      </c>
      <c r="J8" s="11">
        <v>0.2</v>
      </c>
      <c r="K8" s="25">
        <f t="shared" si="2"/>
        <v>1280.0000000000009</v>
      </c>
      <c r="L8" s="25">
        <f t="shared" si="3"/>
        <v>14.222222222222232</v>
      </c>
      <c r="M8" s="33" t="str">
        <f t="shared" si="4"/>
        <v>CAT</v>
      </c>
      <c r="N8" s="24">
        <f t="shared" si="5"/>
        <v>214.22222222222223</v>
      </c>
      <c r="O8" s="6">
        <f t="shared" si="6"/>
        <v>19280</v>
      </c>
      <c r="P8" s="21">
        <f t="shared" si="7"/>
        <v>0.2</v>
      </c>
    </row>
    <row r="9" spans="1:16" x14ac:dyDescent="0.25">
      <c r="A9" s="5"/>
      <c r="B9" s="6"/>
      <c r="C9" s="17" t="s">
        <v>12</v>
      </c>
      <c r="D9" s="7">
        <v>100</v>
      </c>
      <c r="E9" s="5"/>
      <c r="F9" s="6"/>
      <c r="G9" s="6">
        <f t="shared" si="0"/>
        <v>0</v>
      </c>
      <c r="H9" s="21">
        <f t="shared" si="1"/>
        <v>0</v>
      </c>
      <c r="I9" s="34" t="s">
        <v>50</v>
      </c>
      <c r="J9" s="6"/>
      <c r="K9" s="25">
        <f t="shared" si="2"/>
        <v>0</v>
      </c>
      <c r="L9" s="25">
        <f t="shared" si="3"/>
        <v>0</v>
      </c>
      <c r="M9" s="33">
        <f t="shared" si="4"/>
        <v>0</v>
      </c>
      <c r="N9" s="24">
        <f t="shared" si="5"/>
        <v>0</v>
      </c>
      <c r="O9" s="6">
        <f t="shared" si="6"/>
        <v>0</v>
      </c>
      <c r="P9" s="21">
        <f t="shared" si="7"/>
        <v>0</v>
      </c>
    </row>
    <row r="10" spans="1:16" x14ac:dyDescent="0.25">
      <c r="A10" s="5"/>
      <c r="B10" s="6"/>
      <c r="C10" s="17" t="s">
        <v>13</v>
      </c>
      <c r="D10" s="7">
        <v>100</v>
      </c>
      <c r="E10" s="5"/>
      <c r="F10" s="6"/>
      <c r="G10" s="6">
        <f t="shared" si="0"/>
        <v>0</v>
      </c>
      <c r="H10" s="21">
        <f t="shared" si="1"/>
        <v>0</v>
      </c>
      <c r="I10" s="34" t="s">
        <v>50</v>
      </c>
      <c r="J10" s="6"/>
      <c r="K10" s="25">
        <f t="shared" si="2"/>
        <v>0</v>
      </c>
      <c r="L10" s="25">
        <f t="shared" si="3"/>
        <v>0</v>
      </c>
      <c r="M10" s="33">
        <f t="shared" si="4"/>
        <v>0</v>
      </c>
      <c r="N10" s="24">
        <f t="shared" si="5"/>
        <v>0</v>
      </c>
      <c r="O10" s="6">
        <f t="shared" si="6"/>
        <v>0</v>
      </c>
      <c r="P10" s="21">
        <f t="shared" si="7"/>
        <v>0</v>
      </c>
    </row>
    <row r="11" spans="1:16" x14ac:dyDescent="0.25">
      <c r="A11" s="5"/>
      <c r="B11" s="6"/>
      <c r="C11" s="17" t="s">
        <v>14</v>
      </c>
      <c r="D11" s="7">
        <v>100</v>
      </c>
      <c r="E11" s="5"/>
      <c r="F11" s="6"/>
      <c r="G11" s="6">
        <f t="shared" si="0"/>
        <v>0</v>
      </c>
      <c r="H11" s="21">
        <f t="shared" si="1"/>
        <v>0</v>
      </c>
      <c r="I11" s="34" t="s">
        <v>50</v>
      </c>
      <c r="J11" s="6"/>
      <c r="K11" s="25">
        <f t="shared" si="2"/>
        <v>0</v>
      </c>
      <c r="L11" s="25">
        <f t="shared" si="3"/>
        <v>0</v>
      </c>
      <c r="M11" s="33">
        <f t="shared" si="4"/>
        <v>0</v>
      </c>
      <c r="N11" s="24">
        <f t="shared" si="5"/>
        <v>0</v>
      </c>
      <c r="O11" s="6">
        <f t="shared" si="6"/>
        <v>0</v>
      </c>
      <c r="P11" s="21">
        <f t="shared" si="7"/>
        <v>0</v>
      </c>
    </row>
    <row r="12" spans="1:16" x14ac:dyDescent="0.25">
      <c r="A12" s="5"/>
      <c r="B12" s="6"/>
      <c r="C12" s="17" t="s">
        <v>15</v>
      </c>
      <c r="D12" s="7">
        <v>100</v>
      </c>
      <c r="E12" s="5"/>
      <c r="F12" s="6"/>
      <c r="G12" s="6">
        <f t="shared" si="0"/>
        <v>0</v>
      </c>
      <c r="H12" s="21">
        <f t="shared" si="1"/>
        <v>0</v>
      </c>
      <c r="I12" s="34" t="s">
        <v>50</v>
      </c>
      <c r="J12" s="6"/>
      <c r="K12" s="25">
        <f t="shared" si="2"/>
        <v>0</v>
      </c>
      <c r="L12" s="25">
        <f t="shared" si="3"/>
        <v>0</v>
      </c>
      <c r="M12" s="33">
        <f t="shared" si="4"/>
        <v>0</v>
      </c>
      <c r="N12" s="24">
        <f t="shared" si="5"/>
        <v>0</v>
      </c>
      <c r="O12" s="6">
        <f t="shared" si="6"/>
        <v>0</v>
      </c>
      <c r="P12" s="21">
        <f t="shared" si="7"/>
        <v>0</v>
      </c>
    </row>
    <row r="13" spans="1:16" x14ac:dyDescent="0.25">
      <c r="A13" s="5"/>
      <c r="B13" s="6"/>
      <c r="C13" s="17" t="s">
        <v>16</v>
      </c>
      <c r="D13" s="7">
        <v>100</v>
      </c>
      <c r="E13" s="5"/>
      <c r="F13" s="6"/>
      <c r="G13" s="6">
        <f t="shared" si="0"/>
        <v>0</v>
      </c>
      <c r="H13" s="21">
        <f t="shared" si="1"/>
        <v>0</v>
      </c>
      <c r="I13" s="27" t="s">
        <v>45</v>
      </c>
      <c r="J13" s="6"/>
      <c r="K13" s="25">
        <f t="shared" si="2"/>
        <v>0</v>
      </c>
      <c r="L13" s="25">
        <f t="shared" si="3"/>
        <v>0</v>
      </c>
      <c r="M13" s="33">
        <f t="shared" si="4"/>
        <v>0</v>
      </c>
      <c r="N13" s="24">
        <f t="shared" si="5"/>
        <v>0</v>
      </c>
      <c r="O13" s="6">
        <f t="shared" si="6"/>
        <v>0</v>
      </c>
      <c r="P13" s="21">
        <f t="shared" si="7"/>
        <v>0</v>
      </c>
    </row>
    <row r="14" spans="1:16" x14ac:dyDescent="0.25">
      <c r="A14" s="5"/>
      <c r="B14" s="6"/>
      <c r="C14" s="17" t="s">
        <v>17</v>
      </c>
      <c r="D14" s="7">
        <v>100</v>
      </c>
      <c r="E14" s="5"/>
      <c r="F14" s="6"/>
      <c r="G14" s="6">
        <f t="shared" si="0"/>
        <v>0</v>
      </c>
      <c r="H14" s="21">
        <f t="shared" si="1"/>
        <v>0</v>
      </c>
      <c r="I14" s="27" t="s">
        <v>45</v>
      </c>
      <c r="J14" s="6"/>
      <c r="K14" s="25">
        <f t="shared" si="2"/>
        <v>0</v>
      </c>
      <c r="L14" s="25">
        <f t="shared" si="3"/>
        <v>0</v>
      </c>
      <c r="M14" s="33">
        <f t="shared" si="4"/>
        <v>0</v>
      </c>
      <c r="N14" s="24">
        <f t="shared" si="5"/>
        <v>0</v>
      </c>
      <c r="O14" s="6">
        <f t="shared" si="6"/>
        <v>0</v>
      </c>
      <c r="P14" s="21">
        <f t="shared" si="7"/>
        <v>0</v>
      </c>
    </row>
    <row r="15" spans="1:16" x14ac:dyDescent="0.25">
      <c r="A15" s="5"/>
      <c r="B15" s="6"/>
      <c r="C15" s="17" t="s">
        <v>18</v>
      </c>
      <c r="D15" s="7">
        <v>102</v>
      </c>
      <c r="E15" s="5" t="str">
        <f>+C15</f>
        <v>HON</v>
      </c>
      <c r="F15" s="6">
        <v>200</v>
      </c>
      <c r="G15" s="6">
        <f t="shared" si="0"/>
        <v>20400</v>
      </c>
      <c r="H15" s="21">
        <f t="shared" si="1"/>
        <v>0.21161825726141079</v>
      </c>
      <c r="I15" s="26" t="s">
        <v>38</v>
      </c>
      <c r="J15" s="11">
        <v>0.2</v>
      </c>
      <c r="K15" s="25">
        <f t="shared" si="2"/>
        <v>-1119.9999999999986</v>
      </c>
      <c r="L15" s="25">
        <f t="shared" si="3"/>
        <v>-10.980392156862731</v>
      </c>
      <c r="M15" s="33" t="str">
        <f t="shared" si="4"/>
        <v>HON</v>
      </c>
      <c r="N15" s="24">
        <f t="shared" si="5"/>
        <v>189.01960784313727</v>
      </c>
      <c r="O15" s="6">
        <f t="shared" si="6"/>
        <v>19280</v>
      </c>
      <c r="P15" s="21">
        <f t="shared" si="7"/>
        <v>0.2</v>
      </c>
    </row>
    <row r="16" spans="1:16" x14ac:dyDescent="0.25">
      <c r="A16" s="5"/>
      <c r="B16" s="6"/>
      <c r="C16" s="17" t="s">
        <v>19</v>
      </c>
      <c r="D16" s="7">
        <v>100</v>
      </c>
      <c r="E16" s="5"/>
      <c r="F16" s="6"/>
      <c r="G16" s="6">
        <f t="shared" si="0"/>
        <v>0</v>
      </c>
      <c r="H16" s="21">
        <f t="shared" si="1"/>
        <v>0</v>
      </c>
      <c r="I16" s="27" t="s">
        <v>45</v>
      </c>
      <c r="J16" s="6"/>
      <c r="K16" s="25">
        <f t="shared" si="2"/>
        <v>0</v>
      </c>
      <c r="L16" s="25">
        <f t="shared" si="3"/>
        <v>0</v>
      </c>
      <c r="M16" s="33">
        <f t="shared" si="4"/>
        <v>0</v>
      </c>
      <c r="N16" s="24">
        <f t="shared" si="5"/>
        <v>0</v>
      </c>
      <c r="O16" s="6">
        <f t="shared" si="6"/>
        <v>0</v>
      </c>
      <c r="P16" s="21">
        <f t="shared" si="7"/>
        <v>0</v>
      </c>
    </row>
    <row r="17" spans="1:16" x14ac:dyDescent="0.25">
      <c r="A17" s="5"/>
      <c r="B17" s="6"/>
      <c r="C17" s="17" t="s">
        <v>20</v>
      </c>
      <c r="D17" s="7">
        <v>100</v>
      </c>
      <c r="E17" s="5"/>
      <c r="F17" s="6"/>
      <c r="G17" s="6">
        <f t="shared" si="0"/>
        <v>0</v>
      </c>
      <c r="H17" s="21">
        <f t="shared" si="1"/>
        <v>0</v>
      </c>
      <c r="I17" s="27" t="s">
        <v>45</v>
      </c>
      <c r="J17" s="6"/>
      <c r="K17" s="25">
        <f t="shared" si="2"/>
        <v>0</v>
      </c>
      <c r="L17" s="25">
        <f t="shared" si="3"/>
        <v>0</v>
      </c>
      <c r="M17" s="33">
        <f t="shared" si="4"/>
        <v>0</v>
      </c>
      <c r="N17" s="24">
        <f t="shared" si="5"/>
        <v>0</v>
      </c>
      <c r="O17" s="6">
        <f t="shared" si="6"/>
        <v>0</v>
      </c>
      <c r="P17" s="21">
        <f t="shared" si="7"/>
        <v>0</v>
      </c>
    </row>
    <row r="18" spans="1:16" x14ac:dyDescent="0.25">
      <c r="A18" s="5"/>
      <c r="B18" s="6"/>
      <c r="C18" s="17" t="s">
        <v>21</v>
      </c>
      <c r="D18" s="7">
        <v>100</v>
      </c>
      <c r="E18" s="5"/>
      <c r="F18" s="6"/>
      <c r="G18" s="6">
        <f t="shared" si="0"/>
        <v>0</v>
      </c>
      <c r="H18" s="21">
        <f t="shared" si="1"/>
        <v>0</v>
      </c>
      <c r="I18" s="27" t="s">
        <v>45</v>
      </c>
      <c r="J18" s="6"/>
      <c r="K18" s="25">
        <f t="shared" si="2"/>
        <v>0</v>
      </c>
      <c r="L18" s="25">
        <f t="shared" si="3"/>
        <v>0</v>
      </c>
      <c r="M18" s="33">
        <f t="shared" si="4"/>
        <v>0</v>
      </c>
      <c r="N18" s="24">
        <f t="shared" si="5"/>
        <v>0</v>
      </c>
      <c r="O18" s="6">
        <f t="shared" si="6"/>
        <v>0</v>
      </c>
      <c r="P18" s="21">
        <f t="shared" si="7"/>
        <v>0</v>
      </c>
    </row>
    <row r="19" spans="1:16" x14ac:dyDescent="0.25">
      <c r="A19" s="5"/>
      <c r="B19" s="6"/>
      <c r="C19" s="17" t="s">
        <v>22</v>
      </c>
      <c r="D19" s="7">
        <v>80</v>
      </c>
      <c r="E19" s="5" t="str">
        <f>+C19</f>
        <v>KO</v>
      </c>
      <c r="F19" s="6">
        <v>200</v>
      </c>
      <c r="G19" s="6">
        <f t="shared" si="0"/>
        <v>16000</v>
      </c>
      <c r="H19" s="21">
        <f t="shared" si="1"/>
        <v>0.16597510373443983</v>
      </c>
      <c r="I19" s="26" t="s">
        <v>38</v>
      </c>
      <c r="J19" s="11">
        <v>0.2</v>
      </c>
      <c r="K19" s="25">
        <f t="shared" si="2"/>
        <v>3280.0000000000018</v>
      </c>
      <c r="L19" s="25">
        <f t="shared" si="3"/>
        <v>41.000000000000021</v>
      </c>
      <c r="M19" s="33" t="str">
        <f t="shared" si="4"/>
        <v>KO</v>
      </c>
      <c r="N19" s="24">
        <f t="shared" si="5"/>
        <v>241.00000000000003</v>
      </c>
      <c r="O19" s="6">
        <f t="shared" si="6"/>
        <v>19280.000000000004</v>
      </c>
      <c r="P19" s="21">
        <f t="shared" si="7"/>
        <v>0.20000000000000004</v>
      </c>
    </row>
    <row r="20" spans="1:16" x14ac:dyDescent="0.25">
      <c r="A20" s="5"/>
      <c r="B20" s="6"/>
      <c r="C20" s="17" t="s">
        <v>23</v>
      </c>
      <c r="D20" s="7">
        <v>100</v>
      </c>
      <c r="E20" s="5"/>
      <c r="F20" s="6"/>
      <c r="G20" s="6">
        <f t="shared" si="0"/>
        <v>0</v>
      </c>
      <c r="H20" s="21">
        <f t="shared" si="1"/>
        <v>0</v>
      </c>
      <c r="I20" s="27" t="s">
        <v>45</v>
      </c>
      <c r="J20" s="6"/>
      <c r="K20" s="25">
        <f t="shared" si="2"/>
        <v>0</v>
      </c>
      <c r="L20" s="25">
        <f t="shared" si="3"/>
        <v>0</v>
      </c>
      <c r="M20" s="33">
        <f t="shared" si="4"/>
        <v>0</v>
      </c>
      <c r="N20" s="24">
        <f t="shared" si="5"/>
        <v>0</v>
      </c>
      <c r="O20" s="6">
        <f t="shared" si="6"/>
        <v>0</v>
      </c>
      <c r="P20" s="21">
        <f t="shared" si="7"/>
        <v>0</v>
      </c>
    </row>
    <row r="21" spans="1:16" x14ac:dyDescent="0.25">
      <c r="A21" s="5"/>
      <c r="B21" s="6"/>
      <c r="C21" s="17" t="s">
        <v>24</v>
      </c>
      <c r="D21" s="7">
        <v>100</v>
      </c>
      <c r="E21" s="5"/>
      <c r="F21" s="6"/>
      <c r="G21" s="6">
        <f t="shared" si="0"/>
        <v>0</v>
      </c>
      <c r="H21" s="21">
        <f t="shared" si="1"/>
        <v>0</v>
      </c>
      <c r="I21" s="27" t="s">
        <v>45</v>
      </c>
      <c r="J21" s="6"/>
      <c r="K21" s="25">
        <f t="shared" si="2"/>
        <v>0</v>
      </c>
      <c r="L21" s="25">
        <f t="shared" si="3"/>
        <v>0</v>
      </c>
      <c r="M21" s="33">
        <f t="shared" si="4"/>
        <v>0</v>
      </c>
      <c r="N21" s="24">
        <f t="shared" si="5"/>
        <v>0</v>
      </c>
      <c r="O21" s="6">
        <f t="shared" si="6"/>
        <v>0</v>
      </c>
      <c r="P21" s="21">
        <f t="shared" si="7"/>
        <v>0</v>
      </c>
    </row>
    <row r="22" spans="1:16" x14ac:dyDescent="0.25">
      <c r="A22" s="5"/>
      <c r="B22" s="6"/>
      <c r="C22" s="17" t="s">
        <v>25</v>
      </c>
      <c r="D22" s="7">
        <v>100</v>
      </c>
      <c r="E22" s="5"/>
      <c r="F22" s="6"/>
      <c r="G22" s="6">
        <f t="shared" si="0"/>
        <v>0</v>
      </c>
      <c r="H22" s="21">
        <f t="shared" si="1"/>
        <v>0</v>
      </c>
      <c r="I22" s="27" t="s">
        <v>45</v>
      </c>
      <c r="J22" s="6"/>
      <c r="K22" s="25">
        <f t="shared" si="2"/>
        <v>0</v>
      </c>
      <c r="L22" s="25">
        <f t="shared" si="3"/>
        <v>0</v>
      </c>
      <c r="M22" s="33">
        <f t="shared" si="4"/>
        <v>0</v>
      </c>
      <c r="N22" s="24">
        <f t="shared" si="5"/>
        <v>0</v>
      </c>
      <c r="O22" s="6">
        <f t="shared" si="6"/>
        <v>0</v>
      </c>
      <c r="P22" s="21">
        <f t="shared" si="7"/>
        <v>0</v>
      </c>
    </row>
    <row r="23" spans="1:16" x14ac:dyDescent="0.25">
      <c r="A23" s="5"/>
      <c r="B23" s="6"/>
      <c r="C23" s="17" t="s">
        <v>26</v>
      </c>
      <c r="D23" s="7">
        <v>100</v>
      </c>
      <c r="E23" s="5"/>
      <c r="F23" s="6"/>
      <c r="G23" s="6">
        <f t="shared" si="0"/>
        <v>0</v>
      </c>
      <c r="H23" s="21">
        <f t="shared" si="1"/>
        <v>0</v>
      </c>
      <c r="I23" s="27" t="s">
        <v>45</v>
      </c>
      <c r="J23" s="6"/>
      <c r="K23" s="25">
        <f t="shared" si="2"/>
        <v>0</v>
      </c>
      <c r="L23" s="25">
        <f t="shared" si="3"/>
        <v>0</v>
      </c>
      <c r="M23" s="33">
        <f t="shared" si="4"/>
        <v>0</v>
      </c>
      <c r="N23" s="24">
        <f t="shared" si="5"/>
        <v>0</v>
      </c>
      <c r="O23" s="6">
        <f t="shared" si="6"/>
        <v>0</v>
      </c>
      <c r="P23" s="21">
        <f t="shared" si="7"/>
        <v>0</v>
      </c>
    </row>
    <row r="24" spans="1:16" x14ac:dyDescent="0.25">
      <c r="A24" s="5"/>
      <c r="B24" s="6"/>
      <c r="C24" s="17" t="s">
        <v>27</v>
      </c>
      <c r="D24" s="7">
        <v>100</v>
      </c>
      <c r="E24" s="5" t="str">
        <f>+C24</f>
        <v>NKE</v>
      </c>
      <c r="F24" s="6">
        <v>200</v>
      </c>
      <c r="G24" s="6">
        <f t="shared" si="0"/>
        <v>20000</v>
      </c>
      <c r="H24" s="21">
        <f t="shared" si="1"/>
        <v>0.2074688796680498</v>
      </c>
      <c r="I24" s="26" t="s">
        <v>38</v>
      </c>
      <c r="J24" s="11">
        <v>0.2</v>
      </c>
      <c r="K24" s="25">
        <f t="shared" si="2"/>
        <v>-720.00000000000011</v>
      </c>
      <c r="L24" s="25">
        <f t="shared" si="3"/>
        <v>-7.2000000000000011</v>
      </c>
      <c r="M24" s="33" t="str">
        <f t="shared" si="4"/>
        <v>NKE</v>
      </c>
      <c r="N24" s="24">
        <f t="shared" si="5"/>
        <v>192.8</v>
      </c>
      <c r="O24" s="6">
        <f t="shared" si="6"/>
        <v>19280</v>
      </c>
      <c r="P24" s="21">
        <f t="shared" si="7"/>
        <v>0.2</v>
      </c>
    </row>
    <row r="25" spans="1:16" x14ac:dyDescent="0.25">
      <c r="A25" s="5"/>
      <c r="B25" s="6"/>
      <c r="C25" s="17" t="s">
        <v>28</v>
      </c>
      <c r="D25" s="7">
        <v>100</v>
      </c>
      <c r="E25" s="5"/>
      <c r="F25" s="6"/>
      <c r="G25" s="6">
        <f t="shared" si="0"/>
        <v>0</v>
      </c>
      <c r="H25" s="21">
        <f t="shared" si="1"/>
        <v>0</v>
      </c>
      <c r="I25" s="27" t="s">
        <v>45</v>
      </c>
      <c r="J25" s="6"/>
      <c r="K25" s="25">
        <f t="shared" si="2"/>
        <v>0</v>
      </c>
      <c r="L25" s="25">
        <f t="shared" si="3"/>
        <v>0</v>
      </c>
      <c r="M25" s="33">
        <f t="shared" si="4"/>
        <v>0</v>
      </c>
      <c r="N25" s="24">
        <f t="shared" si="5"/>
        <v>0</v>
      </c>
      <c r="O25" s="6">
        <f t="shared" si="6"/>
        <v>0</v>
      </c>
      <c r="P25" s="21">
        <f t="shared" si="7"/>
        <v>0</v>
      </c>
    </row>
    <row r="26" spans="1:16" x14ac:dyDescent="0.25">
      <c r="A26" s="5"/>
      <c r="B26" s="6"/>
      <c r="C26" s="17" t="s">
        <v>29</v>
      </c>
      <c r="D26" s="7">
        <v>100</v>
      </c>
      <c r="E26" s="5"/>
      <c r="F26" s="6"/>
      <c r="G26" s="6">
        <f t="shared" si="0"/>
        <v>0</v>
      </c>
      <c r="H26" s="21">
        <f t="shared" si="1"/>
        <v>0</v>
      </c>
      <c r="I26" s="27" t="s">
        <v>45</v>
      </c>
      <c r="J26" s="6"/>
      <c r="K26" s="25">
        <f t="shared" si="2"/>
        <v>0</v>
      </c>
      <c r="L26" s="25">
        <f t="shared" si="3"/>
        <v>0</v>
      </c>
      <c r="M26" s="33">
        <f t="shared" si="4"/>
        <v>0</v>
      </c>
      <c r="N26" s="24">
        <f t="shared" si="5"/>
        <v>0</v>
      </c>
      <c r="O26" s="6">
        <f t="shared" si="6"/>
        <v>0</v>
      </c>
      <c r="P26" s="21">
        <f t="shared" si="7"/>
        <v>0</v>
      </c>
    </row>
    <row r="27" spans="1:16" x14ac:dyDescent="0.25">
      <c r="A27" s="5"/>
      <c r="B27" s="6"/>
      <c r="C27" s="17" t="s">
        <v>30</v>
      </c>
      <c r="D27" s="7">
        <v>100</v>
      </c>
      <c r="E27" s="5"/>
      <c r="F27" s="6"/>
      <c r="G27" s="6">
        <f t="shared" si="0"/>
        <v>0</v>
      </c>
      <c r="H27" s="21">
        <f t="shared" si="1"/>
        <v>0</v>
      </c>
      <c r="I27" s="27" t="s">
        <v>45</v>
      </c>
      <c r="J27" s="6"/>
      <c r="K27" s="25">
        <f t="shared" si="2"/>
        <v>0</v>
      </c>
      <c r="L27" s="25">
        <f t="shared" si="3"/>
        <v>0</v>
      </c>
      <c r="M27" s="33">
        <f t="shared" si="4"/>
        <v>0</v>
      </c>
      <c r="N27" s="24">
        <f t="shared" si="5"/>
        <v>0</v>
      </c>
      <c r="O27" s="6">
        <f t="shared" si="6"/>
        <v>0</v>
      </c>
      <c r="P27" s="21">
        <f t="shared" si="7"/>
        <v>0</v>
      </c>
    </row>
    <row r="28" spans="1:16" x14ac:dyDescent="0.25">
      <c r="A28" s="5"/>
      <c r="B28" s="6"/>
      <c r="C28" s="17" t="s">
        <v>31</v>
      </c>
      <c r="D28" s="7">
        <v>100</v>
      </c>
      <c r="E28" s="5"/>
      <c r="F28" s="6"/>
      <c r="G28" s="6">
        <f t="shared" si="0"/>
        <v>0</v>
      </c>
      <c r="H28" s="21">
        <f t="shared" si="1"/>
        <v>0</v>
      </c>
      <c r="I28" s="27" t="s">
        <v>45</v>
      </c>
      <c r="J28" s="6"/>
      <c r="K28" s="25">
        <f t="shared" si="2"/>
        <v>0</v>
      </c>
      <c r="L28" s="25">
        <f t="shared" si="3"/>
        <v>0</v>
      </c>
      <c r="M28" s="33">
        <f t="shared" si="4"/>
        <v>0</v>
      </c>
      <c r="N28" s="24">
        <f t="shared" si="5"/>
        <v>0</v>
      </c>
      <c r="O28" s="6">
        <f t="shared" si="6"/>
        <v>0</v>
      </c>
      <c r="P28" s="21">
        <f t="shared" si="7"/>
        <v>0</v>
      </c>
    </row>
    <row r="29" spans="1:16" x14ac:dyDescent="0.25">
      <c r="A29" s="5"/>
      <c r="B29" s="6"/>
      <c r="C29" s="17" t="s">
        <v>32</v>
      </c>
      <c r="D29" s="7">
        <v>100</v>
      </c>
      <c r="E29" s="5"/>
      <c r="F29" s="6"/>
      <c r="G29" s="6">
        <f t="shared" si="0"/>
        <v>0</v>
      </c>
      <c r="H29" s="21">
        <f t="shared" si="1"/>
        <v>0</v>
      </c>
      <c r="I29" s="27" t="s">
        <v>45</v>
      </c>
      <c r="J29" s="6"/>
      <c r="K29" s="25">
        <f t="shared" si="2"/>
        <v>0</v>
      </c>
      <c r="L29" s="25">
        <f t="shared" si="3"/>
        <v>0</v>
      </c>
      <c r="M29" s="33">
        <f t="shared" si="4"/>
        <v>0</v>
      </c>
      <c r="N29" s="24">
        <f t="shared" si="5"/>
        <v>0</v>
      </c>
      <c r="O29" s="6">
        <f t="shared" si="6"/>
        <v>0</v>
      </c>
      <c r="P29" s="21">
        <f t="shared" si="7"/>
        <v>0</v>
      </c>
    </row>
    <row r="30" spans="1:16" x14ac:dyDescent="0.25">
      <c r="A30" s="5"/>
      <c r="B30" s="6"/>
      <c r="C30" s="17" t="s">
        <v>33</v>
      </c>
      <c r="D30" s="7">
        <v>100</v>
      </c>
      <c r="E30" s="5"/>
      <c r="F30" s="6"/>
      <c r="G30" s="6">
        <f t="shared" si="0"/>
        <v>0</v>
      </c>
      <c r="H30" s="21">
        <f t="shared" si="1"/>
        <v>0</v>
      </c>
      <c r="I30" s="27" t="s">
        <v>45</v>
      </c>
      <c r="J30" s="6"/>
      <c r="K30" s="25">
        <f t="shared" si="2"/>
        <v>0</v>
      </c>
      <c r="L30" s="25">
        <f t="shared" si="3"/>
        <v>0</v>
      </c>
      <c r="M30" s="33">
        <f t="shared" si="4"/>
        <v>0</v>
      </c>
      <c r="N30" s="24">
        <f t="shared" si="5"/>
        <v>0</v>
      </c>
      <c r="O30" s="6">
        <f t="shared" si="6"/>
        <v>0</v>
      </c>
      <c r="P30" s="21">
        <f t="shared" si="7"/>
        <v>0</v>
      </c>
    </row>
    <row r="31" spans="1:16" x14ac:dyDescent="0.25">
      <c r="A31" s="5"/>
      <c r="B31" s="6"/>
      <c r="C31" s="17" t="s">
        <v>34</v>
      </c>
      <c r="D31" s="7">
        <v>100</v>
      </c>
      <c r="E31" s="5"/>
      <c r="F31" s="6"/>
      <c r="G31" s="6">
        <f t="shared" si="0"/>
        <v>0</v>
      </c>
      <c r="H31" s="21">
        <f t="shared" si="1"/>
        <v>0</v>
      </c>
      <c r="I31" s="27" t="s">
        <v>45</v>
      </c>
      <c r="J31" s="6"/>
      <c r="K31" s="25">
        <f t="shared" si="2"/>
        <v>0</v>
      </c>
      <c r="L31" s="25">
        <f t="shared" si="3"/>
        <v>0</v>
      </c>
      <c r="M31" s="33">
        <f t="shared" si="4"/>
        <v>0</v>
      </c>
      <c r="N31" s="24">
        <f t="shared" si="5"/>
        <v>0</v>
      </c>
      <c r="O31" s="6">
        <f t="shared" si="6"/>
        <v>0</v>
      </c>
      <c r="P31" s="21">
        <f t="shared" si="7"/>
        <v>0</v>
      </c>
    </row>
    <row r="32" spans="1:16" x14ac:dyDescent="0.25">
      <c r="A32" s="5"/>
      <c r="B32" s="6"/>
      <c r="C32" s="17" t="s">
        <v>35</v>
      </c>
      <c r="D32" s="7">
        <v>100</v>
      </c>
      <c r="E32" s="5"/>
      <c r="F32" s="6"/>
      <c r="G32" s="6">
        <f t="shared" si="0"/>
        <v>0</v>
      </c>
      <c r="H32" s="21">
        <f t="shared" si="1"/>
        <v>0</v>
      </c>
      <c r="I32" s="27" t="s">
        <v>45</v>
      </c>
      <c r="J32" s="6"/>
      <c r="K32" s="25">
        <f t="shared" si="2"/>
        <v>0</v>
      </c>
      <c r="L32" s="25">
        <f t="shared" si="3"/>
        <v>0</v>
      </c>
      <c r="M32" s="33">
        <f t="shared" si="4"/>
        <v>0</v>
      </c>
      <c r="N32" s="24">
        <f t="shared" si="5"/>
        <v>0</v>
      </c>
      <c r="O32" s="6">
        <f t="shared" si="6"/>
        <v>0</v>
      </c>
      <c r="P32" s="21">
        <f t="shared" si="7"/>
        <v>0</v>
      </c>
    </row>
    <row r="33" spans="1:16" x14ac:dyDescent="0.25">
      <c r="A33" s="8"/>
      <c r="B33" s="9"/>
      <c r="C33" s="18" t="s">
        <v>36</v>
      </c>
      <c r="D33" s="10"/>
      <c r="E33" s="8"/>
      <c r="F33" s="9"/>
      <c r="G33" s="9">
        <f>+SUM(G3:G32)</f>
        <v>96400</v>
      </c>
      <c r="H33" s="22">
        <f>+SUM(H3:H32)</f>
        <v>1</v>
      </c>
      <c r="I33" s="35" t="s">
        <v>45</v>
      </c>
      <c r="J33" s="9"/>
      <c r="K33" s="28"/>
      <c r="L33" s="9"/>
      <c r="M33" s="8"/>
      <c r="N33" s="9"/>
      <c r="O33" s="9">
        <f>+SUM(O3:O32)</f>
        <v>96400</v>
      </c>
      <c r="P33" s="22">
        <f t="shared" si="7"/>
        <v>1</v>
      </c>
    </row>
    <row r="34" spans="1:16" x14ac:dyDescent="0.25">
      <c r="A34" s="12" t="s">
        <v>40</v>
      </c>
      <c r="B34" s="14">
        <v>46199</v>
      </c>
      <c r="C34" s="15" t="s">
        <v>6</v>
      </c>
      <c r="D34" s="16">
        <f>+D3*1.01</f>
        <v>111.1</v>
      </c>
      <c r="E34" s="5" t="str">
        <f>+C34</f>
        <v>AAPL</v>
      </c>
      <c r="F34" s="24">
        <f>+N3</f>
        <v>175.27272727272728</v>
      </c>
      <c r="G34" s="6">
        <f>+F34*D34</f>
        <v>19472.8</v>
      </c>
      <c r="H34" s="21">
        <f>+G34/$G$64</f>
        <v>0.19999999999999996</v>
      </c>
      <c r="I34" s="27" t="s">
        <v>45</v>
      </c>
      <c r="J34" s="11"/>
      <c r="K34" s="25">
        <f>+(J34-H34)*$G$64</f>
        <v>-19472.8</v>
      </c>
      <c r="L34" s="25">
        <f>+K34/D34</f>
        <v>-175.27272727272728</v>
      </c>
      <c r="M34" s="30"/>
      <c r="N34" s="31">
        <f>+F34+L34</f>
        <v>0</v>
      </c>
      <c r="O34" s="13">
        <f>+N34*D34</f>
        <v>0</v>
      </c>
      <c r="P34" s="32">
        <f>+O34/$O$33</f>
        <v>0</v>
      </c>
    </row>
    <row r="35" spans="1:16" x14ac:dyDescent="0.25">
      <c r="A35" s="5"/>
      <c r="B35" s="6"/>
      <c r="C35" s="17" t="s">
        <v>7</v>
      </c>
      <c r="D35" s="7">
        <f t="shared" ref="D35:D63" si="8">+D4*1.01</f>
        <v>101</v>
      </c>
      <c r="E35" s="5"/>
      <c r="F35" s="6">
        <f t="shared" ref="F35:F64" si="9">+N4</f>
        <v>0</v>
      </c>
      <c r="G35" s="6">
        <f t="shared" ref="G35:G63" si="10">+F35*D35</f>
        <v>0</v>
      </c>
      <c r="H35" s="21">
        <f t="shared" ref="H35:H63" si="11">+G35/$G$64</f>
        <v>0</v>
      </c>
      <c r="I35" s="26" t="s">
        <v>38</v>
      </c>
      <c r="J35" s="11">
        <v>0.2</v>
      </c>
      <c r="K35" s="25">
        <f t="shared" ref="K35:K63" si="12">+(J35-H35)*$G$64</f>
        <v>19472.800000000003</v>
      </c>
      <c r="L35" s="25">
        <f t="shared" ref="L35:L63" si="13">+K35/D35</f>
        <v>192.80000000000004</v>
      </c>
      <c r="M35" s="33"/>
      <c r="N35" s="24">
        <f t="shared" ref="N35:N63" si="14">+F35+L35</f>
        <v>192.80000000000004</v>
      </c>
      <c r="O35" s="6">
        <f t="shared" ref="O35:O63" si="15">+N35*D35</f>
        <v>19472.800000000003</v>
      </c>
      <c r="P35" s="21">
        <f t="shared" si="7"/>
        <v>0.20200000000000004</v>
      </c>
    </row>
    <row r="36" spans="1:16" x14ac:dyDescent="0.25">
      <c r="A36" s="5"/>
      <c r="B36" s="6"/>
      <c r="C36" s="17" t="s">
        <v>8</v>
      </c>
      <c r="D36" s="7">
        <f t="shared" si="8"/>
        <v>101</v>
      </c>
      <c r="E36" s="5"/>
      <c r="F36" s="6">
        <f t="shared" si="9"/>
        <v>0</v>
      </c>
      <c r="G36" s="6">
        <f t="shared" si="10"/>
        <v>0</v>
      </c>
      <c r="H36" s="21">
        <f t="shared" si="11"/>
        <v>0</v>
      </c>
      <c r="I36" s="27" t="s">
        <v>45</v>
      </c>
      <c r="J36" s="6"/>
      <c r="K36" s="25">
        <f t="shared" si="12"/>
        <v>0</v>
      </c>
      <c r="L36" s="25">
        <f t="shared" si="13"/>
        <v>0</v>
      </c>
      <c r="M36" s="33"/>
      <c r="N36" s="24">
        <f t="shared" si="14"/>
        <v>0</v>
      </c>
      <c r="O36" s="6">
        <f t="shared" si="15"/>
        <v>0</v>
      </c>
      <c r="P36" s="21">
        <f t="shared" si="7"/>
        <v>0</v>
      </c>
    </row>
    <row r="37" spans="1:16" x14ac:dyDescent="0.25">
      <c r="A37" s="5"/>
      <c r="B37" s="6"/>
      <c r="C37" s="17" t="s">
        <v>9</v>
      </c>
      <c r="D37" s="7">
        <f t="shared" si="8"/>
        <v>101</v>
      </c>
      <c r="E37" s="5"/>
      <c r="F37" s="6">
        <f t="shared" si="9"/>
        <v>0</v>
      </c>
      <c r="G37" s="6">
        <f t="shared" si="10"/>
        <v>0</v>
      </c>
      <c r="H37" s="21">
        <f t="shared" si="11"/>
        <v>0</v>
      </c>
      <c r="I37" s="27" t="s">
        <v>45</v>
      </c>
      <c r="J37" s="6"/>
      <c r="K37" s="25">
        <f t="shared" si="12"/>
        <v>0</v>
      </c>
      <c r="L37" s="25">
        <f t="shared" si="13"/>
        <v>0</v>
      </c>
      <c r="M37" s="33"/>
      <c r="N37" s="24">
        <f t="shared" si="14"/>
        <v>0</v>
      </c>
      <c r="O37" s="6">
        <f t="shared" si="15"/>
        <v>0</v>
      </c>
      <c r="P37" s="21">
        <f t="shared" si="7"/>
        <v>0</v>
      </c>
    </row>
    <row r="38" spans="1:16" x14ac:dyDescent="0.25">
      <c r="A38" s="5"/>
      <c r="B38" s="6"/>
      <c r="C38" s="17" t="s">
        <v>10</v>
      </c>
      <c r="D38" s="7">
        <f t="shared" si="8"/>
        <v>101</v>
      </c>
      <c r="E38" s="5"/>
      <c r="F38" s="6">
        <f t="shared" si="9"/>
        <v>0</v>
      </c>
      <c r="G38" s="6">
        <f t="shared" si="10"/>
        <v>0</v>
      </c>
      <c r="H38" s="21">
        <f t="shared" si="11"/>
        <v>0</v>
      </c>
      <c r="I38" s="27" t="s">
        <v>45</v>
      </c>
      <c r="J38" s="6"/>
      <c r="K38" s="25">
        <f t="shared" si="12"/>
        <v>0</v>
      </c>
      <c r="L38" s="25">
        <f t="shared" si="13"/>
        <v>0</v>
      </c>
      <c r="M38" s="33"/>
      <c r="N38" s="24">
        <f t="shared" si="14"/>
        <v>0</v>
      </c>
      <c r="O38" s="6">
        <f t="shared" si="15"/>
        <v>0</v>
      </c>
      <c r="P38" s="21">
        <f t="shared" si="7"/>
        <v>0</v>
      </c>
    </row>
    <row r="39" spans="1:16" x14ac:dyDescent="0.25">
      <c r="A39" s="5"/>
      <c r="B39" s="6"/>
      <c r="C39" s="17" t="s">
        <v>11</v>
      </c>
      <c r="D39" s="7">
        <f t="shared" si="8"/>
        <v>90.9</v>
      </c>
      <c r="E39" s="5" t="str">
        <f>+C39</f>
        <v>CAT</v>
      </c>
      <c r="F39" s="6">
        <f t="shared" si="9"/>
        <v>214.22222222222223</v>
      </c>
      <c r="G39" s="6">
        <f t="shared" si="10"/>
        <v>19472.800000000003</v>
      </c>
      <c r="H39" s="21">
        <f t="shared" si="11"/>
        <v>0.2</v>
      </c>
      <c r="I39" s="26" t="s">
        <v>38</v>
      </c>
      <c r="J39" s="11">
        <v>0.2</v>
      </c>
      <c r="K39" s="25">
        <f t="shared" si="12"/>
        <v>0</v>
      </c>
      <c r="L39" s="25">
        <f t="shared" si="13"/>
        <v>0</v>
      </c>
      <c r="M39" s="33"/>
      <c r="N39" s="24">
        <f t="shared" si="14"/>
        <v>214.22222222222223</v>
      </c>
      <c r="O39" s="6">
        <f t="shared" si="15"/>
        <v>19472.800000000003</v>
      </c>
      <c r="P39" s="21">
        <f t="shared" si="7"/>
        <v>0.20200000000000004</v>
      </c>
    </row>
    <row r="40" spans="1:16" x14ac:dyDescent="0.25">
      <c r="A40" s="5"/>
      <c r="B40" s="6"/>
      <c r="C40" s="17" t="s">
        <v>12</v>
      </c>
      <c r="D40" s="7">
        <f t="shared" si="8"/>
        <v>101</v>
      </c>
      <c r="E40" s="5"/>
      <c r="F40" s="6">
        <f t="shared" si="9"/>
        <v>0</v>
      </c>
      <c r="G40" s="6">
        <f t="shared" si="10"/>
        <v>0</v>
      </c>
      <c r="H40" s="21">
        <f t="shared" si="11"/>
        <v>0</v>
      </c>
      <c r="I40" s="27" t="s">
        <v>45</v>
      </c>
      <c r="J40" s="6"/>
      <c r="K40" s="25">
        <f t="shared" si="12"/>
        <v>0</v>
      </c>
      <c r="L40" s="25">
        <f t="shared" si="13"/>
        <v>0</v>
      </c>
      <c r="M40" s="33"/>
      <c r="N40" s="24">
        <f t="shared" si="14"/>
        <v>0</v>
      </c>
      <c r="O40" s="6">
        <f t="shared" si="15"/>
        <v>0</v>
      </c>
      <c r="P40" s="21">
        <f t="shared" si="7"/>
        <v>0</v>
      </c>
    </row>
    <row r="41" spans="1:16" x14ac:dyDescent="0.25">
      <c r="A41" s="5"/>
      <c r="B41" s="6"/>
      <c r="C41" s="17" t="s">
        <v>13</v>
      </c>
      <c r="D41" s="7">
        <f t="shared" si="8"/>
        <v>101</v>
      </c>
      <c r="E41" s="5"/>
      <c r="F41" s="6">
        <f t="shared" si="9"/>
        <v>0</v>
      </c>
      <c r="G41" s="6">
        <f t="shared" si="10"/>
        <v>0</v>
      </c>
      <c r="H41" s="21">
        <f t="shared" si="11"/>
        <v>0</v>
      </c>
      <c r="I41" s="27" t="s">
        <v>45</v>
      </c>
      <c r="J41" s="6"/>
      <c r="K41" s="25">
        <f t="shared" si="12"/>
        <v>0</v>
      </c>
      <c r="L41" s="25">
        <f t="shared" si="13"/>
        <v>0</v>
      </c>
      <c r="M41" s="33"/>
      <c r="N41" s="24">
        <f t="shared" si="14"/>
        <v>0</v>
      </c>
      <c r="O41" s="6">
        <f t="shared" si="15"/>
        <v>0</v>
      </c>
      <c r="P41" s="21">
        <f t="shared" si="7"/>
        <v>0</v>
      </c>
    </row>
    <row r="42" spans="1:16" x14ac:dyDescent="0.25">
      <c r="A42" s="5"/>
      <c r="B42" s="6"/>
      <c r="C42" s="17" t="s">
        <v>14</v>
      </c>
      <c r="D42" s="7">
        <f t="shared" si="8"/>
        <v>101</v>
      </c>
      <c r="E42" s="5"/>
      <c r="F42" s="6">
        <f t="shared" si="9"/>
        <v>0</v>
      </c>
      <c r="G42" s="6">
        <f t="shared" si="10"/>
        <v>0</v>
      </c>
      <c r="H42" s="21">
        <f t="shared" si="11"/>
        <v>0</v>
      </c>
      <c r="I42" s="27" t="s">
        <v>45</v>
      </c>
      <c r="J42" s="6"/>
      <c r="K42" s="25">
        <f t="shared" si="12"/>
        <v>0</v>
      </c>
      <c r="L42" s="25">
        <f t="shared" si="13"/>
        <v>0</v>
      </c>
      <c r="M42" s="33"/>
      <c r="N42" s="24">
        <f t="shared" si="14"/>
        <v>0</v>
      </c>
      <c r="O42" s="6">
        <f t="shared" si="15"/>
        <v>0</v>
      </c>
      <c r="P42" s="21">
        <f t="shared" si="7"/>
        <v>0</v>
      </c>
    </row>
    <row r="43" spans="1:16" x14ac:dyDescent="0.25">
      <c r="A43" s="5"/>
      <c r="B43" s="6"/>
      <c r="C43" s="17" t="s">
        <v>15</v>
      </c>
      <c r="D43" s="7">
        <f t="shared" si="8"/>
        <v>101</v>
      </c>
      <c r="E43" s="5"/>
      <c r="F43" s="6">
        <f t="shared" si="9"/>
        <v>0</v>
      </c>
      <c r="G43" s="6">
        <f t="shared" si="10"/>
        <v>0</v>
      </c>
      <c r="H43" s="21">
        <f t="shared" si="11"/>
        <v>0</v>
      </c>
      <c r="I43" s="27" t="s">
        <v>45</v>
      </c>
      <c r="J43" s="6"/>
      <c r="K43" s="25">
        <f t="shared" si="12"/>
        <v>0</v>
      </c>
      <c r="L43" s="25">
        <f t="shared" si="13"/>
        <v>0</v>
      </c>
      <c r="M43" s="33"/>
      <c r="N43" s="24">
        <f t="shared" si="14"/>
        <v>0</v>
      </c>
      <c r="O43" s="6">
        <f t="shared" si="15"/>
        <v>0</v>
      </c>
      <c r="P43" s="21">
        <f t="shared" si="7"/>
        <v>0</v>
      </c>
    </row>
    <row r="44" spans="1:16" x14ac:dyDescent="0.25">
      <c r="A44" s="5"/>
      <c r="B44" s="6"/>
      <c r="C44" s="17" t="s">
        <v>16</v>
      </c>
      <c r="D44" s="7">
        <f t="shared" si="8"/>
        <v>101</v>
      </c>
      <c r="E44" s="5"/>
      <c r="F44" s="6">
        <f t="shared" si="9"/>
        <v>0</v>
      </c>
      <c r="G44" s="6">
        <f t="shared" si="10"/>
        <v>0</v>
      </c>
      <c r="H44" s="21">
        <f t="shared" si="11"/>
        <v>0</v>
      </c>
      <c r="I44" s="27" t="s">
        <v>45</v>
      </c>
      <c r="J44" s="6"/>
      <c r="K44" s="25">
        <f t="shared" si="12"/>
        <v>0</v>
      </c>
      <c r="L44" s="25">
        <f t="shared" si="13"/>
        <v>0</v>
      </c>
      <c r="M44" s="33"/>
      <c r="N44" s="24">
        <f t="shared" si="14"/>
        <v>0</v>
      </c>
      <c r="O44" s="6">
        <f t="shared" si="15"/>
        <v>0</v>
      </c>
      <c r="P44" s="21">
        <f t="shared" si="7"/>
        <v>0</v>
      </c>
    </row>
    <row r="45" spans="1:16" x14ac:dyDescent="0.25">
      <c r="A45" s="5"/>
      <c r="B45" s="6"/>
      <c r="C45" s="17" t="s">
        <v>17</v>
      </c>
      <c r="D45" s="7">
        <f t="shared" si="8"/>
        <v>101</v>
      </c>
      <c r="E45" s="5"/>
      <c r="F45" s="6">
        <f t="shared" si="9"/>
        <v>0</v>
      </c>
      <c r="G45" s="6">
        <f t="shared" si="10"/>
        <v>0</v>
      </c>
      <c r="H45" s="21">
        <f t="shared" si="11"/>
        <v>0</v>
      </c>
      <c r="I45" s="27" t="s">
        <v>45</v>
      </c>
      <c r="J45" s="6"/>
      <c r="K45" s="25">
        <f t="shared" si="12"/>
        <v>0</v>
      </c>
      <c r="L45" s="25">
        <f t="shared" si="13"/>
        <v>0</v>
      </c>
      <c r="M45" s="33"/>
      <c r="N45" s="24">
        <f t="shared" si="14"/>
        <v>0</v>
      </c>
      <c r="O45" s="6">
        <f t="shared" si="15"/>
        <v>0</v>
      </c>
      <c r="P45" s="21">
        <f t="shared" si="7"/>
        <v>0</v>
      </c>
    </row>
    <row r="46" spans="1:16" x14ac:dyDescent="0.25">
      <c r="A46" s="5"/>
      <c r="B46" s="6"/>
      <c r="C46" s="17" t="s">
        <v>18</v>
      </c>
      <c r="D46" s="7">
        <f t="shared" si="8"/>
        <v>103.02</v>
      </c>
      <c r="E46" s="5" t="str">
        <f>+C46</f>
        <v>HON</v>
      </c>
      <c r="F46" s="6">
        <f t="shared" si="9"/>
        <v>189.01960784313727</v>
      </c>
      <c r="G46" s="6">
        <f t="shared" si="10"/>
        <v>19472.8</v>
      </c>
      <c r="H46" s="21">
        <f t="shared" si="11"/>
        <v>0.19999999999999996</v>
      </c>
      <c r="I46" s="26" t="s">
        <v>38</v>
      </c>
      <c r="J46" s="11">
        <v>0.2</v>
      </c>
      <c r="K46" s="25">
        <f t="shared" si="12"/>
        <v>5.4047877284801879E-12</v>
      </c>
      <c r="L46" s="25">
        <f t="shared" si="13"/>
        <v>5.2463480183267209E-14</v>
      </c>
      <c r="M46" s="33"/>
      <c r="N46" s="24">
        <f t="shared" si="14"/>
        <v>189.01960784313732</v>
      </c>
      <c r="O46" s="6">
        <f t="shared" si="15"/>
        <v>19472.800000000007</v>
      </c>
      <c r="P46" s="21">
        <f t="shared" si="7"/>
        <v>0.20200000000000007</v>
      </c>
    </row>
    <row r="47" spans="1:16" x14ac:dyDescent="0.25">
      <c r="A47" s="5"/>
      <c r="B47" s="6"/>
      <c r="C47" s="17" t="s">
        <v>19</v>
      </c>
      <c r="D47" s="7">
        <f t="shared" si="8"/>
        <v>101</v>
      </c>
      <c r="E47" s="5"/>
      <c r="F47" s="6">
        <f t="shared" si="9"/>
        <v>0</v>
      </c>
      <c r="G47" s="6">
        <f t="shared" si="10"/>
        <v>0</v>
      </c>
      <c r="H47" s="21">
        <f t="shared" si="11"/>
        <v>0</v>
      </c>
      <c r="I47" s="27" t="s">
        <v>45</v>
      </c>
      <c r="J47" s="6"/>
      <c r="K47" s="25">
        <f t="shared" si="12"/>
        <v>0</v>
      </c>
      <c r="L47" s="25">
        <f t="shared" si="13"/>
        <v>0</v>
      </c>
      <c r="M47" s="33"/>
      <c r="N47" s="24">
        <f t="shared" si="14"/>
        <v>0</v>
      </c>
      <c r="O47" s="6">
        <f t="shared" si="15"/>
        <v>0</v>
      </c>
      <c r="P47" s="21">
        <f t="shared" si="7"/>
        <v>0</v>
      </c>
    </row>
    <row r="48" spans="1:16" x14ac:dyDescent="0.25">
      <c r="A48" s="5"/>
      <c r="B48" s="6"/>
      <c r="C48" s="17" t="s">
        <v>20</v>
      </c>
      <c r="D48" s="7">
        <f t="shared" si="8"/>
        <v>101</v>
      </c>
      <c r="E48" s="5"/>
      <c r="F48" s="6">
        <f t="shared" si="9"/>
        <v>0</v>
      </c>
      <c r="G48" s="6">
        <f t="shared" si="10"/>
        <v>0</v>
      </c>
      <c r="H48" s="21">
        <f t="shared" si="11"/>
        <v>0</v>
      </c>
      <c r="I48" s="27" t="s">
        <v>45</v>
      </c>
      <c r="J48" s="6"/>
      <c r="K48" s="25">
        <f t="shared" si="12"/>
        <v>0</v>
      </c>
      <c r="L48" s="25">
        <f t="shared" si="13"/>
        <v>0</v>
      </c>
      <c r="M48" s="33"/>
      <c r="N48" s="24">
        <f t="shared" si="14"/>
        <v>0</v>
      </c>
      <c r="O48" s="6">
        <f t="shared" si="15"/>
        <v>0</v>
      </c>
      <c r="P48" s="21">
        <f t="shared" si="7"/>
        <v>0</v>
      </c>
    </row>
    <row r="49" spans="1:16" x14ac:dyDescent="0.25">
      <c r="A49" s="5"/>
      <c r="B49" s="6"/>
      <c r="C49" s="17" t="s">
        <v>21</v>
      </c>
      <c r="D49" s="7">
        <f t="shared" si="8"/>
        <v>101</v>
      </c>
      <c r="E49" s="5"/>
      <c r="F49" s="6">
        <f t="shared" si="9"/>
        <v>0</v>
      </c>
      <c r="G49" s="6">
        <f t="shared" si="10"/>
        <v>0</v>
      </c>
      <c r="H49" s="21">
        <f t="shared" si="11"/>
        <v>0</v>
      </c>
      <c r="I49" s="27" t="s">
        <v>45</v>
      </c>
      <c r="J49" s="6"/>
      <c r="K49" s="25">
        <f t="shared" si="12"/>
        <v>0</v>
      </c>
      <c r="L49" s="25">
        <f t="shared" si="13"/>
        <v>0</v>
      </c>
      <c r="M49" s="33"/>
      <c r="N49" s="24">
        <f t="shared" si="14"/>
        <v>0</v>
      </c>
      <c r="O49" s="6">
        <f t="shared" si="15"/>
        <v>0</v>
      </c>
      <c r="P49" s="21">
        <f t="shared" si="7"/>
        <v>0</v>
      </c>
    </row>
    <row r="50" spans="1:16" x14ac:dyDescent="0.25">
      <c r="A50" s="5"/>
      <c r="B50" s="6"/>
      <c r="C50" s="17" t="s">
        <v>22</v>
      </c>
      <c r="D50" s="7">
        <f t="shared" si="8"/>
        <v>80.8</v>
      </c>
      <c r="E50" s="5" t="str">
        <f>+C50</f>
        <v>KO</v>
      </c>
      <c r="F50" s="6">
        <f t="shared" si="9"/>
        <v>241.00000000000003</v>
      </c>
      <c r="G50" s="6">
        <f t="shared" si="10"/>
        <v>19472.800000000003</v>
      </c>
      <c r="H50" s="21">
        <f t="shared" si="11"/>
        <v>0.2</v>
      </c>
      <c r="I50" s="26" t="s">
        <v>38</v>
      </c>
      <c r="J50" s="11">
        <v>0.2</v>
      </c>
      <c r="K50" s="25">
        <f t="shared" si="12"/>
        <v>0</v>
      </c>
      <c r="L50" s="25">
        <f t="shared" si="13"/>
        <v>0</v>
      </c>
      <c r="M50" s="33"/>
      <c r="N50" s="24">
        <f t="shared" si="14"/>
        <v>241.00000000000003</v>
      </c>
      <c r="O50" s="6">
        <f t="shared" si="15"/>
        <v>19472.800000000003</v>
      </c>
      <c r="P50" s="21">
        <f t="shared" si="7"/>
        <v>0.20200000000000004</v>
      </c>
    </row>
    <row r="51" spans="1:16" x14ac:dyDescent="0.25">
      <c r="A51" s="5"/>
      <c r="B51" s="6"/>
      <c r="C51" s="17" t="s">
        <v>23</v>
      </c>
      <c r="D51" s="7">
        <f t="shared" si="8"/>
        <v>101</v>
      </c>
      <c r="E51" s="5"/>
      <c r="F51" s="6">
        <f t="shared" si="9"/>
        <v>0</v>
      </c>
      <c r="G51" s="6">
        <f t="shared" si="10"/>
        <v>0</v>
      </c>
      <c r="H51" s="21">
        <f t="shared" si="11"/>
        <v>0</v>
      </c>
      <c r="I51" s="27" t="s">
        <v>45</v>
      </c>
      <c r="J51" s="6"/>
      <c r="K51" s="25">
        <f t="shared" si="12"/>
        <v>0</v>
      </c>
      <c r="L51" s="25">
        <f t="shared" si="13"/>
        <v>0</v>
      </c>
      <c r="M51" s="33"/>
      <c r="N51" s="24">
        <f t="shared" si="14"/>
        <v>0</v>
      </c>
      <c r="O51" s="6">
        <f t="shared" si="15"/>
        <v>0</v>
      </c>
      <c r="P51" s="21">
        <f t="shared" si="7"/>
        <v>0</v>
      </c>
    </row>
    <row r="52" spans="1:16" x14ac:dyDescent="0.25">
      <c r="A52" s="5"/>
      <c r="B52" s="6"/>
      <c r="C52" s="17" t="s">
        <v>24</v>
      </c>
      <c r="D52" s="7">
        <f t="shared" si="8"/>
        <v>101</v>
      </c>
      <c r="E52" s="5"/>
      <c r="F52" s="6">
        <f t="shared" si="9"/>
        <v>0</v>
      </c>
      <c r="G52" s="6">
        <f t="shared" si="10"/>
        <v>0</v>
      </c>
      <c r="H52" s="21">
        <f t="shared" si="11"/>
        <v>0</v>
      </c>
      <c r="I52" s="27" t="s">
        <v>45</v>
      </c>
      <c r="J52" s="6"/>
      <c r="K52" s="25">
        <f t="shared" si="12"/>
        <v>0</v>
      </c>
      <c r="L52" s="25">
        <f t="shared" si="13"/>
        <v>0</v>
      </c>
      <c r="M52" s="33"/>
      <c r="N52" s="24">
        <f t="shared" si="14"/>
        <v>0</v>
      </c>
      <c r="O52" s="6">
        <f t="shared" si="15"/>
        <v>0</v>
      </c>
      <c r="P52" s="21">
        <f t="shared" si="7"/>
        <v>0</v>
      </c>
    </row>
    <row r="53" spans="1:16" x14ac:dyDescent="0.25">
      <c r="A53" s="5"/>
      <c r="B53" s="6"/>
      <c r="C53" s="17" t="s">
        <v>25</v>
      </c>
      <c r="D53" s="7">
        <f t="shared" si="8"/>
        <v>101</v>
      </c>
      <c r="E53" s="5"/>
      <c r="F53" s="6">
        <f t="shared" si="9"/>
        <v>0</v>
      </c>
      <c r="G53" s="6">
        <f t="shared" si="10"/>
        <v>0</v>
      </c>
      <c r="H53" s="21">
        <f t="shared" si="11"/>
        <v>0</v>
      </c>
      <c r="I53" s="27" t="s">
        <v>45</v>
      </c>
      <c r="J53" s="6"/>
      <c r="K53" s="25">
        <f t="shared" si="12"/>
        <v>0</v>
      </c>
      <c r="L53" s="25">
        <f t="shared" si="13"/>
        <v>0</v>
      </c>
      <c r="M53" s="33"/>
      <c r="N53" s="24">
        <f t="shared" si="14"/>
        <v>0</v>
      </c>
      <c r="O53" s="6">
        <f t="shared" si="15"/>
        <v>0</v>
      </c>
      <c r="P53" s="21">
        <f t="shared" si="7"/>
        <v>0</v>
      </c>
    </row>
    <row r="54" spans="1:16" x14ac:dyDescent="0.25">
      <c r="A54" s="5"/>
      <c r="B54" s="6"/>
      <c r="C54" s="17" t="s">
        <v>26</v>
      </c>
      <c r="D54" s="7">
        <f t="shared" si="8"/>
        <v>101</v>
      </c>
      <c r="E54" s="5"/>
      <c r="F54" s="6">
        <f t="shared" si="9"/>
        <v>0</v>
      </c>
      <c r="G54" s="6">
        <f t="shared" si="10"/>
        <v>0</v>
      </c>
      <c r="H54" s="21">
        <f t="shared" si="11"/>
        <v>0</v>
      </c>
      <c r="I54" s="27" t="s">
        <v>45</v>
      </c>
      <c r="J54" s="6"/>
      <c r="K54" s="25">
        <f t="shared" si="12"/>
        <v>0</v>
      </c>
      <c r="L54" s="25">
        <f t="shared" si="13"/>
        <v>0</v>
      </c>
      <c r="M54" s="33"/>
      <c r="N54" s="24">
        <f t="shared" si="14"/>
        <v>0</v>
      </c>
      <c r="O54" s="6">
        <f t="shared" si="15"/>
        <v>0</v>
      </c>
      <c r="P54" s="21">
        <f t="shared" si="7"/>
        <v>0</v>
      </c>
    </row>
    <row r="55" spans="1:16" x14ac:dyDescent="0.25">
      <c r="A55" s="5"/>
      <c r="B55" s="6"/>
      <c r="C55" s="17" t="s">
        <v>27</v>
      </c>
      <c r="D55" s="7">
        <f t="shared" si="8"/>
        <v>101</v>
      </c>
      <c r="E55" s="5" t="str">
        <f>+C55</f>
        <v>NKE</v>
      </c>
      <c r="F55" s="6">
        <f t="shared" si="9"/>
        <v>192.8</v>
      </c>
      <c r="G55" s="6">
        <f t="shared" si="10"/>
        <v>19472.800000000003</v>
      </c>
      <c r="H55" s="21">
        <f t="shared" si="11"/>
        <v>0.2</v>
      </c>
      <c r="I55" s="26" t="s">
        <v>38</v>
      </c>
      <c r="J55" s="11">
        <v>0.2</v>
      </c>
      <c r="K55" s="25">
        <f t="shared" si="12"/>
        <v>0</v>
      </c>
      <c r="L55" s="25">
        <f t="shared" si="13"/>
        <v>0</v>
      </c>
      <c r="M55" s="33"/>
      <c r="N55" s="24">
        <f t="shared" si="14"/>
        <v>192.8</v>
      </c>
      <c r="O55" s="6">
        <f t="shared" si="15"/>
        <v>19472.800000000003</v>
      </c>
      <c r="P55" s="21">
        <f t="shared" si="7"/>
        <v>0.20200000000000004</v>
      </c>
    </row>
    <row r="56" spans="1:16" x14ac:dyDescent="0.25">
      <c r="A56" s="5"/>
      <c r="B56" s="6"/>
      <c r="C56" s="17" t="s">
        <v>28</v>
      </c>
      <c r="D56" s="7">
        <f t="shared" si="8"/>
        <v>101</v>
      </c>
      <c r="E56" s="5"/>
      <c r="F56" s="6">
        <f t="shared" si="9"/>
        <v>0</v>
      </c>
      <c r="G56" s="6">
        <f t="shared" si="10"/>
        <v>0</v>
      </c>
      <c r="H56" s="21">
        <f t="shared" si="11"/>
        <v>0</v>
      </c>
      <c r="I56" s="27" t="s">
        <v>45</v>
      </c>
      <c r="J56" s="6"/>
      <c r="K56" s="25">
        <f t="shared" si="12"/>
        <v>0</v>
      </c>
      <c r="L56" s="25">
        <f t="shared" si="13"/>
        <v>0</v>
      </c>
      <c r="M56" s="33"/>
      <c r="N56" s="24">
        <f t="shared" si="14"/>
        <v>0</v>
      </c>
      <c r="O56" s="6">
        <f t="shared" si="15"/>
        <v>0</v>
      </c>
      <c r="P56" s="21">
        <f t="shared" si="7"/>
        <v>0</v>
      </c>
    </row>
    <row r="57" spans="1:16" x14ac:dyDescent="0.25">
      <c r="A57" s="5"/>
      <c r="B57" s="6"/>
      <c r="C57" s="17" t="s">
        <v>29</v>
      </c>
      <c r="D57" s="7">
        <f t="shared" si="8"/>
        <v>101</v>
      </c>
      <c r="E57" s="5"/>
      <c r="F57" s="6">
        <f t="shared" si="9"/>
        <v>0</v>
      </c>
      <c r="G57" s="6">
        <f t="shared" si="10"/>
        <v>0</v>
      </c>
      <c r="H57" s="21">
        <f t="shared" si="11"/>
        <v>0</v>
      </c>
      <c r="I57" s="27" t="s">
        <v>45</v>
      </c>
      <c r="J57" s="6"/>
      <c r="K57" s="25">
        <f t="shared" si="12"/>
        <v>0</v>
      </c>
      <c r="L57" s="25">
        <f t="shared" si="13"/>
        <v>0</v>
      </c>
      <c r="M57" s="33"/>
      <c r="N57" s="24">
        <f t="shared" si="14"/>
        <v>0</v>
      </c>
      <c r="O57" s="6">
        <f t="shared" si="15"/>
        <v>0</v>
      </c>
      <c r="P57" s="21">
        <f t="shared" si="7"/>
        <v>0</v>
      </c>
    </row>
    <row r="58" spans="1:16" x14ac:dyDescent="0.25">
      <c r="A58" s="5"/>
      <c r="B58" s="6"/>
      <c r="C58" s="17" t="s">
        <v>30</v>
      </c>
      <c r="D58" s="7">
        <f t="shared" si="8"/>
        <v>101</v>
      </c>
      <c r="E58" s="5"/>
      <c r="F58" s="6">
        <f t="shared" si="9"/>
        <v>0</v>
      </c>
      <c r="G58" s="6">
        <f t="shared" si="10"/>
        <v>0</v>
      </c>
      <c r="H58" s="21">
        <f t="shared" si="11"/>
        <v>0</v>
      </c>
      <c r="I58" s="27" t="s">
        <v>45</v>
      </c>
      <c r="J58" s="6"/>
      <c r="K58" s="25">
        <f t="shared" si="12"/>
        <v>0</v>
      </c>
      <c r="L58" s="25">
        <f t="shared" si="13"/>
        <v>0</v>
      </c>
      <c r="M58" s="33"/>
      <c r="N58" s="24">
        <f t="shared" si="14"/>
        <v>0</v>
      </c>
      <c r="O58" s="6">
        <f t="shared" si="15"/>
        <v>0</v>
      </c>
      <c r="P58" s="21">
        <f t="shared" si="7"/>
        <v>0</v>
      </c>
    </row>
    <row r="59" spans="1:16" x14ac:dyDescent="0.25">
      <c r="A59" s="5"/>
      <c r="B59" s="6"/>
      <c r="C59" s="17" t="s">
        <v>31</v>
      </c>
      <c r="D59" s="7">
        <f t="shared" si="8"/>
        <v>101</v>
      </c>
      <c r="E59" s="5"/>
      <c r="F59" s="6">
        <f t="shared" si="9"/>
        <v>0</v>
      </c>
      <c r="G59" s="6">
        <f t="shared" si="10"/>
        <v>0</v>
      </c>
      <c r="H59" s="21">
        <f t="shared" si="11"/>
        <v>0</v>
      </c>
      <c r="I59" s="27" t="s">
        <v>45</v>
      </c>
      <c r="J59" s="6"/>
      <c r="K59" s="25">
        <f t="shared" si="12"/>
        <v>0</v>
      </c>
      <c r="L59" s="25">
        <f t="shared" si="13"/>
        <v>0</v>
      </c>
      <c r="M59" s="33"/>
      <c r="N59" s="24">
        <f t="shared" si="14"/>
        <v>0</v>
      </c>
      <c r="O59" s="6">
        <f t="shared" si="15"/>
        <v>0</v>
      </c>
      <c r="P59" s="21">
        <f t="shared" si="7"/>
        <v>0</v>
      </c>
    </row>
    <row r="60" spans="1:16" x14ac:dyDescent="0.25">
      <c r="A60" s="5"/>
      <c r="B60" s="6"/>
      <c r="C60" s="17" t="s">
        <v>32</v>
      </c>
      <c r="D60" s="7">
        <f t="shared" si="8"/>
        <v>101</v>
      </c>
      <c r="E60" s="5"/>
      <c r="F60" s="6">
        <f t="shared" si="9"/>
        <v>0</v>
      </c>
      <c r="G60" s="6">
        <f t="shared" si="10"/>
        <v>0</v>
      </c>
      <c r="H60" s="21">
        <f t="shared" si="11"/>
        <v>0</v>
      </c>
      <c r="I60" s="27" t="s">
        <v>45</v>
      </c>
      <c r="J60" s="6"/>
      <c r="K60" s="25">
        <f t="shared" si="12"/>
        <v>0</v>
      </c>
      <c r="L60" s="25">
        <f t="shared" si="13"/>
        <v>0</v>
      </c>
      <c r="M60" s="33"/>
      <c r="N60" s="24">
        <f t="shared" si="14"/>
        <v>0</v>
      </c>
      <c r="O60" s="6">
        <f t="shared" si="15"/>
        <v>0</v>
      </c>
      <c r="P60" s="21">
        <f t="shared" si="7"/>
        <v>0</v>
      </c>
    </row>
    <row r="61" spans="1:16" x14ac:dyDescent="0.25">
      <c r="A61" s="5"/>
      <c r="B61" s="6"/>
      <c r="C61" s="17" t="s">
        <v>33</v>
      </c>
      <c r="D61" s="7">
        <f t="shared" si="8"/>
        <v>101</v>
      </c>
      <c r="E61" s="5"/>
      <c r="F61" s="6">
        <f t="shared" si="9"/>
        <v>0</v>
      </c>
      <c r="G61" s="6">
        <f t="shared" si="10"/>
        <v>0</v>
      </c>
      <c r="H61" s="21">
        <f t="shared" si="11"/>
        <v>0</v>
      </c>
      <c r="I61" s="27" t="s">
        <v>45</v>
      </c>
      <c r="J61" s="6"/>
      <c r="K61" s="25">
        <f t="shared" si="12"/>
        <v>0</v>
      </c>
      <c r="L61" s="25">
        <f t="shared" si="13"/>
        <v>0</v>
      </c>
      <c r="M61" s="33"/>
      <c r="N61" s="24">
        <f t="shared" si="14"/>
        <v>0</v>
      </c>
      <c r="O61" s="6">
        <f t="shared" si="15"/>
        <v>0</v>
      </c>
      <c r="P61" s="21">
        <f t="shared" si="7"/>
        <v>0</v>
      </c>
    </row>
    <row r="62" spans="1:16" x14ac:dyDescent="0.25">
      <c r="A62" s="5"/>
      <c r="B62" s="6"/>
      <c r="C62" s="17" t="s">
        <v>34</v>
      </c>
      <c r="D62" s="7">
        <f t="shared" si="8"/>
        <v>101</v>
      </c>
      <c r="E62" s="5"/>
      <c r="F62" s="6">
        <f t="shared" si="9"/>
        <v>0</v>
      </c>
      <c r="G62" s="6">
        <f t="shared" si="10"/>
        <v>0</v>
      </c>
      <c r="H62" s="21">
        <f t="shared" si="11"/>
        <v>0</v>
      </c>
      <c r="I62" s="27" t="s">
        <v>45</v>
      </c>
      <c r="J62" s="6"/>
      <c r="K62" s="25">
        <f t="shared" si="12"/>
        <v>0</v>
      </c>
      <c r="L62" s="25">
        <f t="shared" si="13"/>
        <v>0</v>
      </c>
      <c r="M62" s="33"/>
      <c r="N62" s="24">
        <f t="shared" si="14"/>
        <v>0</v>
      </c>
      <c r="O62" s="6">
        <f t="shared" si="15"/>
        <v>0</v>
      </c>
      <c r="P62" s="21">
        <f t="shared" si="7"/>
        <v>0</v>
      </c>
    </row>
    <row r="63" spans="1:16" x14ac:dyDescent="0.25">
      <c r="A63" s="5"/>
      <c r="B63" s="6"/>
      <c r="C63" s="17" t="s">
        <v>35</v>
      </c>
      <c r="D63" s="7">
        <f t="shared" si="8"/>
        <v>101</v>
      </c>
      <c r="E63" s="5"/>
      <c r="F63" s="6">
        <f t="shared" si="9"/>
        <v>0</v>
      </c>
      <c r="G63" s="6">
        <f t="shared" si="10"/>
        <v>0</v>
      </c>
      <c r="H63" s="21">
        <f t="shared" si="11"/>
        <v>0</v>
      </c>
      <c r="I63" s="27" t="s">
        <v>45</v>
      </c>
      <c r="J63" s="6"/>
      <c r="K63" s="25">
        <f t="shared" si="12"/>
        <v>0</v>
      </c>
      <c r="L63" s="25">
        <f t="shared" si="13"/>
        <v>0</v>
      </c>
      <c r="M63" s="33"/>
      <c r="N63" s="24">
        <f t="shared" si="14"/>
        <v>0</v>
      </c>
      <c r="O63" s="6">
        <f t="shared" si="15"/>
        <v>0</v>
      </c>
      <c r="P63" s="21">
        <f t="shared" si="7"/>
        <v>0</v>
      </c>
    </row>
    <row r="64" spans="1:16" x14ac:dyDescent="0.25">
      <c r="A64" s="8"/>
      <c r="B64" s="9"/>
      <c r="C64" s="18" t="s">
        <v>36</v>
      </c>
      <c r="D64" s="10"/>
      <c r="E64" s="8"/>
      <c r="F64" s="9">
        <f t="shared" si="9"/>
        <v>0</v>
      </c>
      <c r="G64" s="9">
        <f>+SUM(G34:G63)</f>
        <v>97364.000000000015</v>
      </c>
      <c r="H64" s="22">
        <f>+SUM(H34:H63)</f>
        <v>0.99999999999999978</v>
      </c>
      <c r="I64" s="27" t="s">
        <v>45</v>
      </c>
      <c r="J64" s="9"/>
      <c r="K64" s="28"/>
      <c r="L64" s="9"/>
      <c r="M64" s="8"/>
      <c r="N64" s="9"/>
      <c r="O64" s="9">
        <f>+SUM(O34:O63)</f>
        <v>97364.000000000015</v>
      </c>
      <c r="P64" s="22">
        <f t="shared" si="7"/>
        <v>1.0100000000000002</v>
      </c>
    </row>
  </sheetData>
  <mergeCells count="2">
    <mergeCell ref="I1:L1"/>
    <mergeCell ref="E1:H1"/>
  </mergeCells>
  <phoneticPr fontId="2" type="noConversion"/>
  <conditionalFormatting sqref="L3:M32">
    <cfRule type="cellIs" dxfId="1" priority="2" operator="lessThan">
      <formula>0</formula>
    </cfRule>
  </conditionalFormatting>
  <conditionalFormatting sqref="L34:M6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2015-06-05T18:19:34Z</dcterms:created>
  <dcterms:modified xsi:type="dcterms:W3CDTF">2026-07-01T14:45:23Z</dcterms:modified>
</cp:coreProperties>
</file>