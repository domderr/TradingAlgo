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Archive" sheetId="3" state="visible" r:id="rId3"/>
    <sheet xmlns:r="http://schemas.openxmlformats.org/officeDocument/2006/relationships" name="Originale" sheetId="4" state="visible" r:id="rId4"/>
  </sheets>
  <definedNames>
    <definedName name="_xlnm._FilterDatabase" localSheetId="1" hidden="1">'Tasks'!$A$1:$J$14</definedName>
    <definedName name="_xlnm._FilterDatabase" localSheetId="2" hidden="1">'Archive'!$A$1:$G$3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1" fillId="2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sksTable" displayName="TasksTable" ref="A1:J9" headerRowCount="1">
  <autoFilter ref="A1:J9"/>
  <tableColumns count="10">
    <tableColumn id="1" name="ID"/>
    <tableColumn id="2" name="Area"/>
    <tableColumn id="3" name="Tipo"/>
    <tableColumn id="4" name="Task"/>
    <tableColumn id="5" name="Prossima azione"/>
    <tableColumn id="6" name="Priorita"/>
    <tableColumn id="7" name="Status"/>
    <tableColumn id="8" name="Scadenza"/>
    <tableColumn id="9" name="Owner"/>
    <tableColumn id="10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rchiveTable" displayName="ArchiveTable" ref="A1:G7" headerRowCount="1">
  <autoFilter ref="A1:G3"/>
  <tableColumns count="7">
    <tableColumn id="1" name="ID"/>
    <tableColumn id="2" name="Area"/>
    <tableColumn id="3" name="Tipo"/>
    <tableColumn id="4" name="Task"/>
    <tableColumn id="5" name="Status"/>
    <tableColumn id="6" name="Risolto il"/>
    <tableColumn id="7" name="Note risoluzion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TradingAlgo Mosaic - To do list</t>
        </is>
      </c>
    </row>
    <row r="3">
      <c r="A3" s="2" t="inlineStr">
        <is>
          <t>Totale task aperti</t>
        </is>
      </c>
      <c r="B3" s="2">
        <f>COUNTA(Tasks!A2:A200)</f>
        <v/>
      </c>
    </row>
    <row r="4">
      <c r="A4" s="2" t="inlineStr">
        <is>
          <t>Alta priorita</t>
        </is>
      </c>
      <c r="B4" s="2">
        <f>COUNTIF(Tasks!F:F,"Alta")</f>
        <v/>
      </c>
    </row>
    <row r="5">
      <c r="A5" s="2" t="inlineStr">
        <is>
          <t>In corso</t>
        </is>
      </c>
      <c r="B5" s="2">
        <f>COUNTIF(Tasks!G:G,"In corso")</f>
        <v/>
      </c>
    </row>
    <row r="6">
      <c r="A6" s="2" t="inlineStr">
        <is>
          <t>Idee Contents</t>
        </is>
      </c>
      <c r="B6" s="2">
        <f>COUNTIFS(Tasks!B:B,"Contents",Tasks!G:G,"Idea")</f>
        <v/>
      </c>
    </row>
    <row r="7">
      <c r="A7" s="2" t="n"/>
      <c r="B7" s="2" t="n"/>
    </row>
    <row r="8">
      <c r="A8" s="3" t="inlineStr">
        <is>
          <t>Aree</t>
        </is>
      </c>
      <c r="B8" s="3" t="inlineStr">
        <is>
          <t>Significato</t>
        </is>
      </c>
    </row>
    <row r="9">
      <c r="A9" s="2" t="inlineStr">
        <is>
          <t>Frontend</t>
        </is>
      </c>
      <c r="B9" s="2" t="inlineStr">
        <is>
          <t>Output visibile: sito, pagine, report finali, layout, testi pubblici, grafici.</t>
        </is>
      </c>
    </row>
    <row r="10">
      <c r="A10" s="2" t="inlineStr">
        <is>
          <t>Strategia</t>
        </is>
      </c>
      <c r="B10" s="2" t="inlineStr">
        <is>
          <t>Backend/logica: notebook, script, strategie, pipeline, pulizia codice.</t>
        </is>
      </c>
    </row>
    <row r="11">
      <c r="A11" s="2" t="inlineStr">
        <is>
          <t>Contents</t>
        </is>
      </c>
      <c r="B11" s="2" t="inlineStr">
        <is>
          <t>Articoli, post, Medium, blog, newsletter, scalette editoriali.</t>
        </is>
      </c>
    </row>
    <row r="12">
      <c r="A12" s="2" t="inlineStr">
        <is>
          <t>Varie</t>
        </is>
      </c>
      <c r="B12" s="2" t="inlineStr">
        <is>
          <t>Task trasversali o non ancora classificati.</t>
        </is>
      </c>
    </row>
    <row r="13">
      <c r="A13" s="2" t="n"/>
      <c r="B13" s="2" t="n"/>
    </row>
    <row r="14">
      <c r="A14" s="3" t="n"/>
      <c r="B14" s="3" t="n"/>
    </row>
    <row r="15">
      <c r="A15" s="2" t="inlineStr">
        <is>
          <t>Vista rapida per area</t>
        </is>
      </c>
      <c r="B15" s="2" t="n"/>
    </row>
    <row r="16">
      <c r="A16" s="3" t="inlineStr">
        <is>
          <t>Area</t>
        </is>
      </c>
      <c r="B16" s="3" t="inlineStr">
        <is>
          <t>Aperti</t>
        </is>
      </c>
    </row>
    <row r="17">
      <c r="A17" s="2" t="inlineStr">
        <is>
          <t>Frontend</t>
        </is>
      </c>
      <c r="B17" s="2">
        <f>COUNTIF(Tasks!B:B,"Frontend")</f>
        <v/>
      </c>
    </row>
    <row r="18">
      <c r="A18" s="2" t="inlineStr">
        <is>
          <t>Strategia</t>
        </is>
      </c>
      <c r="B18" s="2">
        <f>COUNTIF(Tasks!B:B,"Strategia")</f>
        <v/>
      </c>
    </row>
    <row r="19">
      <c r="A19" s="2" t="inlineStr">
        <is>
          <t>Contents</t>
        </is>
      </c>
      <c r="B19" s="2">
        <f>COUNTIF(Tasks!B:B,"Contents")</f>
        <v/>
      </c>
    </row>
    <row r="20">
      <c r="A20" s="2" t="inlineStr">
        <is>
          <t>Varie</t>
        </is>
      </c>
      <c r="B20" s="2">
        <f>COUNTIF(Tasks!B:B,"Varie")</f>
        <v/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46" customWidth="1" min="4" max="4"/>
    <col width="64" customWidth="1" min="5" max="5"/>
    <col width="11" customWidth="1" min="6" max="6"/>
    <col width="13" customWidth="1" min="7" max="7"/>
    <col width="13" customWidth="1" min="8" max="8"/>
    <col width="14" customWidth="1" min="9" max="9"/>
    <col width="44" customWidth="1" min="10" max="10"/>
  </cols>
  <sheetData>
    <row r="1">
      <c r="A1" s="4" t="inlineStr">
        <is>
          <t>ID</t>
        </is>
      </c>
      <c r="B1" s="4" t="inlineStr">
        <is>
          <t>Area</t>
        </is>
      </c>
      <c r="C1" s="4" t="inlineStr">
        <is>
          <t>Tipo</t>
        </is>
      </c>
      <c r="D1" s="4" t="inlineStr">
        <is>
          <t>Task</t>
        </is>
      </c>
      <c r="E1" s="4" t="inlineStr">
        <is>
          <t>Prossima azione</t>
        </is>
      </c>
      <c r="F1" s="4" t="inlineStr">
        <is>
          <t>Priorita</t>
        </is>
      </c>
      <c r="G1" s="4" t="inlineStr">
        <is>
          <t>Status</t>
        </is>
      </c>
      <c r="H1" s="4" t="inlineStr">
        <is>
          <t>Scadenza</t>
        </is>
      </c>
      <c r="I1" s="4" t="inlineStr">
        <is>
          <t>Owner</t>
        </is>
      </c>
      <c r="J1" s="4" t="inlineStr">
        <is>
          <t>Note</t>
        </is>
      </c>
    </row>
    <row r="2">
      <c r="A2" s="2" t="inlineStr">
        <is>
          <t>T-002</t>
        </is>
      </c>
      <c r="B2" s="2" t="inlineStr">
        <is>
          <t>Strategia</t>
        </is>
      </c>
      <c r="C2" s="2" t="inlineStr">
        <is>
          <t>Refactor</t>
        </is>
      </c>
      <c r="D2" s="2" t="inlineStr">
        <is>
          <t>Pulizia del codice da parti non utilizzate</t>
        </is>
      </c>
      <c r="E2" s="2" t="inlineStr">
        <is>
          <t>Cercare file/funzioni non referenziate e rimuovere solo dopo verifica o test.</t>
        </is>
      </c>
      <c r="F2" s="2" t="inlineStr">
        <is>
          <t>Media</t>
        </is>
      </c>
      <c r="G2" s="2" t="inlineStr">
        <is>
          <t>Da fare</t>
        </is>
      </c>
      <c r="H2" s="2" t="inlineStr"/>
      <c r="I2" s="2" t="inlineStr"/>
      <c r="J2" s="2" t="inlineStr"/>
    </row>
    <row r="3">
      <c r="A3" s="2" t="inlineStr">
        <is>
          <t>T-003</t>
        </is>
      </c>
      <c r="B3" s="2" t="inlineStr">
        <is>
          <t>Frontend</t>
        </is>
      </c>
      <c r="C3" s="2" t="inlineStr">
        <is>
          <t>Copy</t>
        </is>
      </c>
      <c r="D3" s="2" t="inlineStr">
        <is>
          <t>Rivedere testo subscription plans</t>
        </is>
      </c>
      <c r="E3" s="2" t="inlineStr">
        <is>
          <t>Decidere dove mostrare il testo e renderlo coerente con tono commerciale del sito.</t>
        </is>
      </c>
      <c r="F3" s="2" t="inlineStr">
        <is>
          <t>Media</t>
        </is>
      </c>
      <c r="G3" s="2" t="inlineStr">
        <is>
          <t>Da fare</t>
        </is>
      </c>
      <c r="H3" s="2" t="inlineStr"/>
      <c r="I3" s="2" t="inlineStr"/>
      <c r="J3" s="2" t="inlineStr">
        <is>
          <t>Testo sorgente: TradingAlgo Mosaic is available through selected subscription plans...</t>
        </is>
      </c>
    </row>
    <row r="4">
      <c r="A4" s="2" t="inlineStr">
        <is>
          <t>T-004</t>
        </is>
      </c>
      <c r="B4" s="2" t="inlineStr">
        <is>
          <t>Contents</t>
        </is>
      </c>
      <c r="C4" s="2" t="inlineStr">
        <is>
          <t>Articolo Medium</t>
        </is>
      </c>
      <c r="D4" s="2" t="inlineStr">
        <is>
          <t>Articolo su validazione non parametrica</t>
        </is>
      </c>
      <c r="E4" s="2" t="inlineStr">
        <is>
          <t>Preparare scaletta: problema, metodo, esempio sui mercati, takeaway.</t>
        </is>
      </c>
      <c r="F4" s="2" t="inlineStr">
        <is>
          <t>Media</t>
        </is>
      </c>
      <c r="G4" s="2" t="inlineStr">
        <is>
          <t>Idea</t>
        </is>
      </c>
      <c r="H4" s="2" t="inlineStr"/>
      <c r="I4" s="2" t="inlineStr"/>
      <c r="J4" s="2" t="inlineStr"/>
    </row>
    <row r="5">
      <c r="A5" s="2" t="inlineStr">
        <is>
          <t>T-005</t>
        </is>
      </c>
      <c r="B5" s="2" t="inlineStr">
        <is>
          <t>Contents</t>
        </is>
      </c>
      <c r="C5" s="2" t="inlineStr">
        <is>
          <t>Articolo</t>
        </is>
      </c>
      <c r="D5" s="2" t="inlineStr">
        <is>
          <t>Articolo su pairwise correlation</t>
        </is>
      </c>
      <c r="E5" s="2" t="inlineStr">
        <is>
          <t>Definire tesi principale e grafici/metriche da usare.</t>
        </is>
      </c>
      <c r="F5" s="2" t="inlineStr">
        <is>
          <t>Media</t>
        </is>
      </c>
      <c r="G5" s="2" t="inlineStr">
        <is>
          <t>Idea</t>
        </is>
      </c>
      <c r="H5" s="2" t="inlineStr"/>
      <c r="I5" s="2" t="inlineStr"/>
      <c r="J5" s="2" t="inlineStr"/>
    </row>
    <row r="6">
      <c r="A6" s="2" t="inlineStr">
        <is>
          <t>T-006</t>
        </is>
      </c>
      <c r="B6" s="2" t="inlineStr">
        <is>
          <t>Contents</t>
        </is>
      </c>
      <c r="C6" s="2" t="inlineStr">
        <is>
          <t>Articolo</t>
        </is>
      </c>
      <c r="D6" s="2" t="inlineStr">
        <is>
          <t>Selecting Five Stocks to Represent an Entire Market</t>
        </is>
      </c>
      <c r="E6" s="2" t="inlineStr">
        <is>
          <t>Trasformare il titolo in brief: criterio di selezione, dati, confronto benchmark.</t>
        </is>
      </c>
      <c r="F6" s="2" t="inlineStr">
        <is>
          <t>Bassa</t>
        </is>
      </c>
      <c r="G6" s="2" t="inlineStr">
        <is>
          <t>Idea</t>
        </is>
      </c>
      <c r="H6" s="2" t="inlineStr"/>
      <c r="I6" s="2" t="inlineStr"/>
      <c r="J6" s="2" t="inlineStr"/>
    </row>
    <row r="7">
      <c r="A7" s="2" t="inlineStr">
        <is>
          <t>T-007</t>
        </is>
      </c>
      <c r="B7" s="2" t="inlineStr">
        <is>
          <t>Contents</t>
        </is>
      </c>
      <c r="C7" s="2" t="inlineStr">
        <is>
          <t>Articolo</t>
        </is>
      </c>
      <c r="D7" s="2" t="inlineStr">
        <is>
          <t>What Happens When You Rank Countries Instead of Stocks?</t>
        </is>
      </c>
      <c r="E7" s="2" t="inlineStr">
        <is>
          <t>Preparare outline con ranking, rotazione e limiti metodologici.</t>
        </is>
      </c>
      <c r="F7" s="2" t="inlineStr">
        <is>
          <t>Bassa</t>
        </is>
      </c>
      <c r="G7" s="2" t="inlineStr">
        <is>
          <t>Idea</t>
        </is>
      </c>
      <c r="H7" s="2" t="inlineStr"/>
      <c r="I7" s="2" t="inlineStr"/>
      <c r="J7" s="2" t="inlineStr"/>
    </row>
    <row r="8">
      <c r="A8" s="2" t="inlineStr">
        <is>
          <t>T-008</t>
        </is>
      </c>
      <c r="B8" s="2" t="inlineStr">
        <is>
          <t>Contents</t>
        </is>
      </c>
      <c r="C8" s="2" t="inlineStr">
        <is>
          <t>Articolo</t>
        </is>
      </c>
      <c r="D8" s="2" t="inlineStr">
        <is>
          <t>How AI Is Making Traditional Technical Analysis Harder</t>
        </is>
      </c>
      <c r="E8" s="2" t="inlineStr">
        <is>
          <t>Definire angolo: overcrowding, pattern decay, adattivita dei mercati.</t>
        </is>
      </c>
      <c r="F8" s="2" t="inlineStr">
        <is>
          <t>Bassa</t>
        </is>
      </c>
      <c r="G8" s="2" t="inlineStr">
        <is>
          <t>Idea</t>
        </is>
      </c>
      <c r="H8" s="2" t="inlineStr"/>
      <c r="I8" s="2" t="inlineStr"/>
      <c r="J8" s="2" t="inlineStr"/>
    </row>
    <row r="9">
      <c r="A9" s="2" t="inlineStr">
        <is>
          <t>T-013</t>
        </is>
      </c>
      <c r="B9" s="2" t="inlineStr">
        <is>
          <t>Varie</t>
        </is>
      </c>
      <c r="C9" s="2" t="inlineStr">
        <is>
          <t>Pianificazione</t>
        </is>
      </c>
      <c r="D9" s="2" t="inlineStr">
        <is>
          <t>Pianificare le elaborazioni in base ai crediti rimanenti</t>
        </is>
      </c>
      <c r="E9" s="2" t="inlineStr">
        <is>
          <t>Stimare costo/tempo delle prossime elaborazioni e ordinare i run in base ai crediti disponibili.</t>
        </is>
      </c>
      <c r="F9" s="2" t="inlineStr">
        <is>
          <t>Alta</t>
        </is>
      </c>
      <c r="G9" s="2" t="inlineStr">
        <is>
          <t>Da fare</t>
        </is>
      </c>
      <c r="H9" s="2" t="inlineStr"/>
      <c r="I9" s="2" t="inlineStr"/>
      <c r="J9" s="2" t="inlineStr">
        <is>
          <t>Definire priorita dei batch prima di lanciare elaborazioni pesanti.</t>
        </is>
      </c>
    </row>
    <row r="10">
      <c r="A10" s="2" t="inlineStr">
        <is>
          <t>T-015</t>
        </is>
      </c>
      <c r="B10" s="2" t="inlineStr">
        <is>
          <t>Frontend</t>
        </is>
      </c>
      <c r="C10" s="2" t="inlineStr">
        <is>
          <t>Report</t>
        </is>
      </c>
      <c r="D10" s="2" t="inlineStr">
        <is>
          <t>Report month-year: dati non in grassetto</t>
        </is>
      </c>
      <c r="E10" s="2" t="inlineStr">
        <is>
          <t>Verificare la tabella month-year nei report HTML e impostare i valori numerici con font normale.</t>
        </is>
      </c>
      <c r="F10" s="2" t="inlineStr">
        <is>
          <t>Media</t>
        </is>
      </c>
      <c r="G10" s="2" t="inlineStr">
        <is>
          <t>Da fare</t>
        </is>
      </c>
      <c r="H10" s="2" t="n"/>
      <c r="I10" s="2" t="n"/>
      <c r="J10" s="2" t="inlineStr">
        <is>
          <t>Mantenere eventualmente in grassetto solo intestazioni o totali, se presenti.</t>
        </is>
      </c>
    </row>
    <row r="11">
      <c r="A11" s="2" t="inlineStr">
        <is>
          <t>T-016</t>
        </is>
      </c>
      <c r="B11" s="2" t="inlineStr">
        <is>
          <t>Frontend</t>
        </is>
      </c>
      <c r="C11" s="2" t="inlineStr">
        <is>
          <t>SEO / Personal branding</t>
        </is>
      </c>
      <c r="D11" s="2" t="inlineStr">
        <is>
          <t>Far apparire piu spesso Domenico D'Errico nel sito</t>
        </is>
      </c>
      <c r="E11" s="2" t="inlineStr">
        <is>
          <t>Mappare le pagine chiave e aggiungere riferimenti naturali all'autore: bio, footer, articoli, meta description e pagine Mosaic.</t>
        </is>
      </c>
      <c r="F11" s="2" t="inlineStr">
        <is>
          <t>Media</t>
        </is>
      </c>
      <c r="G11" s="2" t="inlineStr">
        <is>
          <t>Da fare</t>
        </is>
      </c>
      <c r="H11" s="2" t="n"/>
      <c r="I11" s="2" t="inlineStr">
        <is>
          <t>Domenico D'Errico</t>
        </is>
      </c>
      <c r="J11" s="2" t="inlineStr">
        <is>
          <t>Obiettivo: aumentare visibilita e riconoscibilita dell'autore senza keyword stuffing.</t>
        </is>
      </c>
    </row>
    <row r="12">
      <c r="A12" s="2" t="inlineStr">
        <is>
          <t>T-017</t>
        </is>
      </c>
      <c r="B12" s="2" t="inlineStr">
        <is>
          <t>Frontend</t>
        </is>
      </c>
      <c r="C12" s="2" t="inlineStr">
        <is>
          <t>Servizi / Copy</t>
        </is>
      </c>
      <c r="D12" s="2" t="inlineStr">
        <is>
          <t>Aggiungere nei servizi offerti il coaching per investitori privati e asset manager</t>
        </is>
      </c>
      <c r="E12" s="2" t="inlineStr">
        <is>
          <t>Inserire una sezione/voce servizi per il coaching nello sviluppo del proprio portafoglio con supporto di Codex e Claude Code.</t>
        </is>
      </c>
      <c r="F12" s="2" t="inlineStr">
        <is>
          <t>Media</t>
        </is>
      </c>
      <c r="G12" s="2" t="inlineStr">
        <is>
          <t>Da fare</t>
        </is>
      </c>
      <c r="H12" s="2" t="n"/>
      <c r="I12" s="2" t="n"/>
      <c r="J12" s="2" t="inlineStr">
        <is>
          <t>Target: investitori privati e asset manager. Valutare tono professionale e posizionamento nella home o pagina servizi.</t>
        </is>
      </c>
    </row>
    <row r="13">
      <c r="A13" s="2" t="inlineStr">
        <is>
          <t>T-018</t>
        </is>
      </c>
      <c r="B13" s="2" t="inlineStr">
        <is>
          <t>Frontend</t>
        </is>
      </c>
      <c r="C13" s="2" t="inlineStr">
        <is>
          <t>Report / Layout</t>
        </is>
      </c>
      <c r="D13" s="2" t="inlineStr">
        <is>
          <t>Report DJ30: sistemare i ticker che vanno a capo e controllare tutti i mercati</t>
        </is>
      </c>
      <c r="E13" s="2" t="inlineStr">
        <is>
          <t>Verificare il report DJ30 dove i ticker vanno a capo; correggere CSS/layout e controllare lo stesso problema su tutti i mercati generati.</t>
        </is>
      </c>
      <c r="F13" s="2" t="inlineStr">
        <is>
          <t>Alta</t>
        </is>
      </c>
      <c r="G13" s="2" t="inlineStr">
        <is>
          <t>Da fare</t>
        </is>
      </c>
      <c r="H13" s="2" t="n"/>
      <c r="I13" s="2" t="n"/>
      <c r="J13" s="2" t="inlineStr">
        <is>
          <t>Controllare report principali e pagine asset/lista ticker nei reports_html per overflow, wrap e leggibilita mobile/desktop.</t>
        </is>
      </c>
    </row>
    <row r="14">
      <c r="A14" s="2" t="inlineStr">
        <is>
          <t>T-019</t>
        </is>
      </c>
      <c r="B14" s="2" t="inlineStr">
        <is>
          <t>Frontend</t>
        </is>
      </c>
      <c r="C14" s="2" t="inlineStr">
        <is>
          <t>Copy</t>
        </is>
      </c>
      <c r="D14" s="2" t="inlineStr">
        <is>
          <t>Preparare una mail di benvenuto per chi richiede accesso alla reserved area</t>
        </is>
      </c>
      <c r="E14" s="2" t="inlineStr">
        <is>
          <t>Scrivere template email con conferma accesso, istruzioni essenziali e tono coerente con TradingAlgo Mosaic.</t>
        </is>
      </c>
      <c r="F14" s="2" t="inlineStr">
        <is>
          <t>Media</t>
        </is>
      </c>
      <c r="G14" s="2" t="inlineStr">
        <is>
          <t>Da fare</t>
        </is>
      </c>
      <c r="H14" s="2" t="n"/>
      <c r="I14" s="2" t="n"/>
      <c r="J14" s="2" t="inlineStr">
        <is>
          <t>Da usare per nuovi utenti che richiedono accesso alla reserved area.</t>
        </is>
      </c>
    </row>
    <row r="15">
      <c r="A15" s="2" t="inlineStr">
        <is>
          <t>T-020</t>
        </is>
      </c>
      <c r="B15" s="2" t="inlineStr">
        <is>
          <t>Frontend</t>
        </is>
      </c>
      <c r="C15" s="2" t="inlineStr">
        <is>
          <t>Reserved Area / Bug</t>
        </is>
      </c>
      <c r="D15" s="2" t="inlineStr">
        <is>
          <t>Reserved area: correggere ticker ripetuto nei singoli riquadri</t>
        </is>
      </c>
      <c r="E15" s="2" t="inlineStr">
        <is>
          <t>Verificare i riquadri della reserved area, identificare dove il ticker viene renderizzato due volte e correggere template/CSS/JS.</t>
        </is>
      </c>
      <c r="F15" s="2" t="inlineStr">
        <is>
          <t>Alta</t>
        </is>
      </c>
      <c r="G15" s="2" t="inlineStr">
        <is>
          <t>Da fare</t>
        </is>
      </c>
      <c r="H15" s="2" t="n"/>
      <c r="I15" s="2" t="n"/>
      <c r="J15" s="2" t="inlineStr">
        <is>
          <t>Segnalazione: nella reserved area, nei singoli riquadri, il ticker appare ripetuto.</t>
        </is>
      </c>
    </row>
    <row r="16">
      <c r="A16" s="2" t="inlineStr">
        <is>
          <t>T-021</t>
        </is>
      </c>
      <c r="B16" s="2" t="inlineStr">
        <is>
          <t>Contents</t>
        </is>
      </c>
      <c r="C16" s="2" t="inlineStr">
        <is>
          <t>Marketing / Promozione</t>
        </is>
      </c>
      <c r="D16" s="2" t="inlineStr">
        <is>
          <t>Campagna sconto 30% per acquirenti del libro e Gandalf Symposium</t>
        </is>
      </c>
      <c r="E16" s="2" t="inlineStr">
        <is>
          <t>Definire codice coupon, criteri destinatari, copy email/landing e periodo di validita della promozione.</t>
        </is>
      </c>
      <c r="F16" s="2" t="inlineStr">
        <is>
          <t>Alta</t>
        </is>
      </c>
      <c r="G16" s="2" t="inlineStr">
        <is>
          <t>Da fare</t>
        </is>
      </c>
      <c r="H16" s="2" t="n"/>
      <c r="I16" s="2" t="n"/>
      <c r="J16" s="2" t="inlineStr">
        <is>
          <t>Target: chi ha comprato il libro TradeStation EasyLanguage for Algorithmic Trading e/o in occasione del Gandalf Symposium.</t>
        </is>
      </c>
    </row>
  </sheetData>
  <autoFilter ref="A1:J14"/>
  <conditionalFormatting sqref="A2:J200">
    <cfRule type="expression" priority="1" dxfId="0">
      <formula>$F2="Alta"</formula>
    </cfRule>
    <cfRule type="expression" priority="2" dxfId="1">
      <formula>$G2="In corso"</formula>
    </cfRule>
    <cfRule type="expression" priority="3" dxfId="2">
      <formula>$G2="DONE"</formula>
    </cfRule>
  </conditionalFormatting>
  <dataValidations count="3">
    <dataValidation sqref="G2:G200" showDropDown="0" showInputMessage="0" showErrorMessage="0" allowBlank="0" type="list">
      <formula1>"Idea,Da fare,In corso,Bloccato,DONE"</formula1>
    </dataValidation>
    <dataValidation sqref="F2:F200" showDropDown="0" showInputMessage="0" showErrorMessage="0" allowBlank="0" type="list">
      <formula1>"Alta,Media,Bassa"</formula1>
    </dataValidation>
    <dataValidation sqref="B2:B200" showDropDown="0" showInputMessage="0" showErrorMessage="0" allowBlank="0" type="list">
      <formula1>"Frontend,Strategia,Contents,Varie"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52" customWidth="1" min="4" max="4"/>
    <col width="12" customWidth="1" min="5" max="5"/>
    <col width="20" customWidth="1" min="6" max="6"/>
    <col width="70" customWidth="1" min="7" max="7"/>
  </cols>
  <sheetData>
    <row r="1">
      <c r="A1" s="4" t="inlineStr">
        <is>
          <t>ID</t>
        </is>
      </c>
      <c r="B1" s="4" t="inlineStr">
        <is>
          <t>Area</t>
        </is>
      </c>
      <c r="C1" s="4" t="inlineStr">
        <is>
          <t>Tipo</t>
        </is>
      </c>
      <c r="D1" s="4" t="inlineStr">
        <is>
          <t>Task</t>
        </is>
      </c>
      <c r="E1" s="4" t="inlineStr">
        <is>
          <t>Status</t>
        </is>
      </c>
      <c r="F1" s="4" t="inlineStr">
        <is>
          <t>Risolto il</t>
        </is>
      </c>
      <c r="G1" s="4" t="inlineStr">
        <is>
          <t>Note risoluzione</t>
        </is>
      </c>
    </row>
    <row r="2">
      <c r="A2" s="2" t="inlineStr">
        <is>
          <t>A-001</t>
        </is>
      </c>
      <c r="B2" s="2" t="inlineStr">
        <is>
          <t>Frontend</t>
        </is>
      </c>
      <c r="C2" s="2" t="inlineStr">
        <is>
          <t>Copy</t>
        </is>
      </c>
      <c r="D2" s="2" t="inlineStr">
        <is>
          <t>Rendere piu professionale la descrizione della validazione</t>
        </is>
      </c>
      <c r="E2" s="2" t="inlineStr">
        <is>
          <t>DONE</t>
        </is>
      </c>
      <c r="F2" s="2" t="inlineStr">
        <is>
          <t>2026-06-22 18:45</t>
        </is>
      </c>
      <c r="G2" s="2" t="inlineStr">
        <is>
          <t>Updated validation.html with a more professional description.</t>
        </is>
      </c>
    </row>
    <row r="3">
      <c r="A3" s="2" t="inlineStr">
        <is>
          <t>A-002</t>
        </is>
      </c>
      <c r="B3" s="2" t="inlineStr">
        <is>
          <t>Frontend</t>
        </is>
      </c>
      <c r="C3" s="2" t="inlineStr">
        <is>
          <t>Layout</t>
        </is>
      </c>
      <c r="D3" s="2" t="inlineStr">
        <is>
          <t>Sistemare tabella monthly/year nel report</t>
        </is>
      </c>
      <c r="E3" s="2" t="inlineStr">
        <is>
          <t>DONE</t>
        </is>
      </c>
      <c r="F3" s="2" t="inlineStr">
        <is>
          <t>2026-06-22 18:45</t>
        </is>
      </c>
      <c r="G3" s="2" t="inlineStr">
        <is>
          <t>Monthly/year table now fits the report width and colors negative values red across all 15 markets.</t>
        </is>
      </c>
    </row>
    <row r="4">
      <c r="A4" t="inlineStr">
        <is>
          <t>T-001</t>
        </is>
      </c>
      <c r="B4" t="inlineStr">
        <is>
          <t>Strategia</t>
        </is>
      </c>
      <c r="C4" t="inlineStr">
        <is>
          <t>Cleanup</t>
        </is>
      </c>
      <c r="D4" t="inlineStr">
        <is>
          <t>Disattivare di default la produzione PDF dal notebook</t>
        </is>
      </c>
      <c r="E4" t="inlineStr">
        <is>
          <t>DONE</t>
        </is>
      </c>
      <c r="F4" t="inlineStr">
        <is>
          <t>2026-06-23 05:56</t>
        </is>
      </c>
      <c r="G4" t="inlineStr">
        <is>
          <t>Added GENERATE_PDF_REPORTS=False default in TA_Portfolios.ipynb; PDF generation and site PDF publishing now run only when explicitly enabled. Runner can opt in with GENERATE_PDF_REPORTS=1.</t>
        </is>
      </c>
    </row>
    <row r="5">
      <c r="A5" t="inlineStr">
        <is>
          <t>T-009</t>
        </is>
      </c>
      <c r="B5" t="inlineStr">
        <is>
          <t>Frontend</t>
        </is>
      </c>
      <c r="C5" t="inlineStr">
        <is>
          <t>Grafico</t>
        </is>
      </c>
      <c r="D5" t="inlineStr">
        <is>
          <t>Far partire il grafico equity da gennaio 2024</t>
        </is>
      </c>
      <c r="E5" t="inlineStr">
        <is>
          <t>DONE</t>
        </is>
      </c>
      <c r="F5" t="inlineStr">
        <is>
          <t>2026-06-23 05:56</t>
        </is>
      </c>
      <c r="G5" t="inlineStr">
        <is>
          <t>Changed download_market_data.py default start date to 2023-01-01; notebook keeps START_DATE=2023-01-01 and PERFORMANCE_START_DATE=2024-01-01 so report equity is shown from Jan 2024.</t>
        </is>
      </c>
    </row>
    <row r="6">
      <c r="A6" t="inlineStr">
        <is>
          <t>T-011</t>
        </is>
      </c>
      <c r="B6" t="inlineStr">
        <is>
          <t>Frontend</t>
        </is>
      </c>
      <c r="C6" t="inlineStr">
        <is>
          <t>Home page</t>
        </is>
      </c>
      <c r="D6" t="inlineStr">
        <is>
          <t>Eliminare pulsante Request Task dalla home page</t>
        </is>
      </c>
      <c r="E6" t="inlineStr">
        <is>
          <t>DONE</t>
        </is>
      </c>
      <c r="F6" t="inlineStr">
        <is>
          <t>2026-06-23 05:59</t>
        </is>
      </c>
      <c r="G6" t="inlineStr">
        <is>
          <t>Removed the home page hero CTA button linking to #request-info from TradingAlgo.gitwork/index.html; request form and lower access section remain available.</t>
        </is>
      </c>
    </row>
    <row r="7">
      <c r="A7" t="inlineStr">
        <is>
          <t>T-012</t>
        </is>
      </c>
      <c r="B7" t="inlineStr">
        <is>
          <t>Varie</t>
        </is>
      </c>
      <c r="C7" t="inlineStr">
        <is>
          <t>Organizzazione</t>
        </is>
      </c>
      <c r="D7" t="inlineStr">
        <is>
          <t>Fare ordine nelle cartelle TradingAlgo</t>
        </is>
      </c>
      <c r="E7" t="inlineStr">
        <is>
          <t>DONE</t>
        </is>
      </c>
      <c r="F7" t="inlineStr">
        <is>
          <t>2026-06-23 07:59</t>
        </is>
      </c>
      <c r="G7" t="inlineStr">
        <is>
          <t>Created unified root G:\Il mio Drive\TradingAlgo_Project with site and mosaic_dev. Moved old TradingAlgo, TradingAlgo.it and TradingAlgoMosaic into _archive. Copied active Mosaic dev into mosaic_dev and updated runner paths. Old TradingAlgoMosaic_Dev remains locked by an external handle and is marked DO_NOT_USE until it can be archived.</t>
        </is>
      </c>
    </row>
    <row r="8">
      <c r="A8" t="inlineStr">
        <is>
          <t>T-014</t>
        </is>
      </c>
      <c r="B8" t="inlineStr">
        <is>
          <t>Varie</t>
        </is>
      </c>
      <c r="C8" t="inlineStr">
        <is>
          <t>Procedura</t>
        </is>
      </c>
      <c r="D8" t="inlineStr">
        <is>
          <t>Procedura per aggiornare nuove password</t>
        </is>
      </c>
      <c r="E8" t="inlineStr">
        <is>
          <t>DONE</t>
        </is>
      </c>
      <c r="F8" t="inlineStr">
        <is>
          <t>2026-06-23 08:30</t>
        </is>
      </c>
      <c r="G8" t="inlineStr">
        <is>
          <t>Created PROCEDURA_PASSWORD.md and update_subscriptions.py. Generated site/assets/subscriptions.json from Subscriptions.xlsx with SHA-256 password hashes; no plain passwords are published. Current JSON contains 4 active subscriptions.</t>
        </is>
      </c>
    </row>
  </sheetData>
  <autoFilter ref="A1:G3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5" t="inlineStr">
        <is>
          <t>Colonna 1</t>
        </is>
      </c>
      <c r="B1" s="5" t="inlineStr">
        <is>
          <t>Colonna 2</t>
        </is>
      </c>
      <c r="C1" s="5" t="inlineStr">
        <is>
          <t>Colonna 3</t>
        </is>
      </c>
      <c r="D1" s="5" t="inlineStr">
        <is>
          <t>Colonna 4</t>
        </is>
      </c>
      <c r="E1" s="5" t="inlineStr">
        <is>
          <t>Colonna 5</t>
        </is>
      </c>
    </row>
    <row r="2">
      <c r="A2" s="2" t="n"/>
      <c r="B2" s="2" t="n"/>
      <c r="C2" s="2" t="inlineStr">
        <is>
          <t>Status</t>
        </is>
      </c>
      <c r="D2" s="2" t="inlineStr">
        <is>
          <t>Resolved at</t>
        </is>
      </c>
      <c r="E2" s="2" t="inlineStr">
        <is>
          <t>Resolution notes</t>
        </is>
      </c>
    </row>
    <row r="3">
      <c r="A3" s="2" t="n"/>
      <c r="B3" s="2" t="n"/>
      <c r="C3" s="2" t="n"/>
      <c r="D3" s="2" t="n"/>
      <c r="E3" s="2" t="n"/>
    </row>
    <row r="4">
      <c r="A4" s="2" t="inlineStr">
        <is>
          <t>Every strategy included in TradingAlgo Mosaic has been tested and validated since 2024. The equity lines below show the historical performance of each covered market.</t>
        </is>
      </c>
      <c r="B4" s="2" t="inlineStr">
        <is>
          <t>descrizione più professionale</t>
        </is>
      </c>
      <c r="C4" s="2" t="inlineStr">
        <is>
          <t>DONE</t>
        </is>
      </c>
      <c r="D4" s="2" t="inlineStr">
        <is>
          <t>2026-06-22 18:45</t>
        </is>
      </c>
      <c r="E4" s="2" t="inlineStr">
        <is>
          <t>Updated validation.html with a more professional description.</t>
        </is>
      </c>
    </row>
    <row r="5">
      <c r="A5" s="2" t="n"/>
      <c r="B5" s="2" t="n"/>
      <c r="C5" s="2" t="inlineStr">
        <is>
          <t>DONE</t>
        </is>
      </c>
      <c r="D5" s="2" t="inlineStr">
        <is>
          <t>2026-06-22 18:45</t>
        </is>
      </c>
      <c r="E5" s="2" t="inlineStr">
        <is>
          <t>Monthly/year table now fits the report width and colors negative values red across all 15 markets.</t>
        </is>
      </c>
    </row>
    <row r="6">
      <c r="A6" s="2" t="inlineStr">
        <is>
          <t>eliminare produzione PDF dal noebook</t>
        </is>
      </c>
      <c r="B6" s="2" t="n"/>
      <c r="C6" s="2" t="n"/>
      <c r="D6" s="2" t="n"/>
      <c r="E6" s="2" t="n"/>
    </row>
    <row r="7">
      <c r="A7" s="2" t="inlineStr">
        <is>
          <t>pulizia codice di parti non utilizzate</t>
        </is>
      </c>
      <c r="B7" s="2" t="n"/>
      <c r="C7" s="2" t="n"/>
      <c r="D7" s="2" t="n"/>
      <c r="E7" s="2" t="n"/>
    </row>
    <row r="8">
      <c r="A8" s="2" t="inlineStr">
        <is>
          <t>TradingAlgo Mosaic is available through selected subscription plans. Contact us for information and access options.</t>
        </is>
      </c>
      <c r="B8" s="2" t="n"/>
      <c r="C8" s="2" t="n"/>
      <c r="D8" s="2" t="n"/>
      <c r="E8" s="2" t="n"/>
    </row>
    <row r="9">
      <c r="A9" s="2" t="inlineStr">
        <is>
          <t xml:space="preserve">Articolo medium su validazione non parametrica </t>
        </is>
      </c>
      <c r="B9" s="2" t="n"/>
      <c r="C9" s="2" t="n"/>
      <c r="D9" s="2" t="n"/>
      <c r="E9" s="2" t="n"/>
    </row>
    <row r="10">
      <c r="A10" s="2" t="inlineStr">
        <is>
          <t xml:space="preserve">articolo su pairwise correlation </t>
        </is>
      </c>
      <c r="B10" s="2" t="n"/>
      <c r="C10" s="2" t="n"/>
      <c r="D10" s="2" t="n"/>
      <c r="E10" s="2" t="n"/>
    </row>
    <row r="11">
      <c r="A11" s="2" t="inlineStr">
        <is>
          <t>Selecting Five Stocks to Represent an Entire Market</t>
        </is>
      </c>
      <c r="B11" s="2" t="n"/>
      <c r="C11" s="2" t="n"/>
      <c r="D11" s="2" t="n"/>
      <c r="E11" s="2" t="n"/>
    </row>
    <row r="12">
      <c r="A12" s="2" t="inlineStr">
        <is>
          <t>What Happens When You Rank Countries Instead of Stocks?</t>
        </is>
      </c>
      <c r="B12" s="2" t="n"/>
      <c r="C12" s="2" t="n"/>
      <c r="D12" s="2" t="n"/>
      <c r="E12" s="2" t="n"/>
    </row>
    <row r="13">
      <c r="A13" s="2" t="inlineStr">
        <is>
          <t>How AI Is Making Traditional Technical Analysis Harder</t>
        </is>
      </c>
      <c r="B13" s="2" t="n"/>
      <c r="C13" s="2" t="n"/>
      <c r="D13" s="2" t="n"/>
      <c r="E13" s="2" t="n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2026-06-23T03:05:41Z</dcterms:created>
  <dcterms:modified xmlns:dcterms="http://purl.org/dc/terms/" xmlns:xsi="http://www.w3.org/2001/XMLSchema-instance" xsi:type="dcterms:W3CDTF">2026-06-24T05:13:04Z</dcterms:modified>
</cp:coreProperties>
</file>