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Weekly_Summary" sheetId="2" state="visible" r:id="rId2"/>
    <sheet xmlns:r="http://schemas.openxmlformats.org/officeDocument/2006/relationships" name="Rebalance_Audit" sheetId="3" state="visible" r:id="rId3"/>
    <sheet xmlns:r="http://schemas.openxmlformats.org/officeDocument/2006/relationships" name="Holdings_By_Week" sheetId="4" state="visible" r:id="rId4"/>
  </sheets>
  <definedNames>
    <definedName name="InitialCapital">Config!$B$5</definedName>
    <definedName name="_xlnm._FilterDatabase" localSheetId="1" hidden="1">'Weekly_Summary'!$A$1:$L$4</definedName>
    <definedName name="_xlnm._FilterDatabase" localSheetId="2" hidden="1">'Rebalance_Audit'!$A$1:$U$25</definedName>
    <definedName name="_xlnm._FilterDatabase" localSheetId="3" hidden="1">'Holdings_By_Week'!$A$1:$J$16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2" borderId="0" pivotButton="0" quotePrefix="0" xfId="0"/>
    <xf numFmtId="0" fontId="3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4" fontId="2" fillId="4" borderId="1" applyAlignment="1" pivotButton="0" quotePrefix="0" xfId="0">
      <alignment vertical="top"/>
    </xf>
    <xf numFmtId="164" fontId="2" fillId="4" borderId="1" applyAlignment="1" pivotButton="0" quotePrefix="0" xfId="0">
      <alignment vertical="top"/>
    </xf>
    <xf numFmtId="10" fontId="2" fillId="4" borderId="1" applyAlignment="1" pivotButton="0" quotePrefix="0" xfId="0">
      <alignment vertical="top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WeeklySummary" displayName="WeeklySummary" ref="A1:L4" headerRowCount="1">
  <autoFilter ref="A1:L4"/>
  <tableColumns count="12">
    <tableColumn id="1" name="Market"/>
    <tableColumn id="2" name="WeekEnding"/>
    <tableColumn id="3" name="Benchmark"/>
    <tableColumn id="4" name="portfolio_start_value"/>
    <tableColumn id="5" name="portfolio_end_value"/>
    <tableColumn id="6" name="weekly_pnl"/>
    <tableColumn id="7" name="weekly_return"/>
    <tableColumn id="8" name="benchmark_return"/>
    <tableColumn id="9" name="excess_return"/>
    <tableColumn id="10" name="action"/>
    <tableColumn id="11" name="in_tickers"/>
    <tableColumn id="12" name="out_tick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balanceAudit" displayName="RebalanceAudit" ref="A1:U25" headerRowCount="1">
  <autoFilter ref="A1:U25"/>
  <tableColumns count="21">
    <tableColumn id="1" name="Market"/>
    <tableColumn id="2" name="WeekEnding"/>
    <tableColumn id="3" name="Benchmark"/>
    <tableColumn id="4" name="Asset"/>
    <tableColumn id="5" name="Company"/>
    <tableColumn id="6" name="Sector"/>
    <tableColumn id="7" name="last_price"/>
    <tableColumn id="8" name="position_before"/>
    <tableColumn id="9" name="qty_before"/>
    <tableColumn id="10" name="value_before"/>
    <tableColumn id="11" name="weight_before"/>
    <tableColumn id="12" name="Status"/>
    <tableColumn id="13" name="target_weight"/>
    <tableColumn id="14" name="value_change"/>
    <tableColumn id="15" name="qty_change"/>
    <tableColumn id="16" name="position_after"/>
    <tableColumn id="17" name="qty_after"/>
    <tableColumn id="18" name="value_after"/>
    <tableColumn id="19" name="weight_after"/>
    <tableColumn id="20" name="benchmark_return"/>
    <tableColumn id="21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HoldingsByWeek" displayName="HoldingsByWeek" ref="A1:J16" headerRowCount="1">
  <autoFilter ref="A1:J16"/>
  <tableColumns count="10">
    <tableColumn id="1" name="Market"/>
    <tableColumn id="2" name="WeekEnding"/>
    <tableColumn id="3" name="Benchmark"/>
    <tableColumn id="4" name="Asset"/>
    <tableColumn id="5" name="Company"/>
    <tableColumn id="6" name="Sector"/>
    <tableColumn id="7" name="last_price"/>
    <tableColumn id="8" name="qty_after"/>
    <tableColumn id="9" name="value_after"/>
    <tableColumn id="10" name="weight_af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86" customWidth="1" min="2" max="2"/>
  </cols>
  <sheetData>
    <row r="1">
      <c r="A1" s="1" t="inlineStr">
        <is>
          <t>TradingAlgo Mosaic - Rebalance Audit Trial</t>
        </is>
      </c>
    </row>
    <row r="3">
      <c r="A3" s="2" t="inlineStr">
        <is>
          <t>Market</t>
        </is>
      </c>
      <c r="B3" t="inlineStr">
        <is>
          <t>Italy30</t>
        </is>
      </c>
    </row>
    <row r="4">
      <c r="A4" s="2" t="inlineStr">
        <is>
          <t>Benchmark</t>
        </is>
      </c>
      <c r="B4" t="inlineStr">
        <is>
          <t>EWI</t>
        </is>
      </c>
    </row>
    <row r="5">
      <c r="A5" s="2" t="inlineStr">
        <is>
          <t>Initial capital</t>
        </is>
      </c>
      <c r="B5" s="3" t="n">
        <v>100000</v>
      </c>
    </row>
    <row r="6">
      <c r="A6" s="2" t="inlineStr">
        <is>
          <t>Price convention</t>
        </is>
      </c>
      <c r="B6" t="inlineStr">
        <is>
          <t>last_price is the Friday closing price used for rebalance calculations.</t>
        </is>
      </c>
    </row>
    <row r="7">
      <c r="A7" s="2" t="inlineStr">
        <is>
          <t>Execution convention</t>
        </is>
      </c>
      <c r="B7" t="inlineStr">
        <is>
          <t>Signals are calculated after Friday close; implementation is intended at next Monday open.</t>
        </is>
      </c>
    </row>
    <row r="8">
      <c r="A8" s="2" t="inlineStr">
        <is>
          <t>User action</t>
        </is>
      </c>
      <c r="B8" t="inlineStr">
        <is>
          <t>Change Config!B5 to test a different starting capital.</t>
        </is>
      </c>
    </row>
  </sheetData>
  <dataValidations count="1">
    <dataValidation sqref="B5" showDropDown="0" showInputMessage="0" showErrorMessage="0" allowBlank="0" errorTitle="Invalid capital" error="Initial capital must be greater than zero.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4" customWidth="1" min="4" max="4"/>
    <col width="22" customWidth="1" min="5" max="5"/>
    <col width="13" customWidth="1" min="6" max="6"/>
    <col width="16" customWidth="1" min="7" max="7"/>
    <col width="19" customWidth="1" min="8" max="8"/>
    <col width="16" customWidth="1" min="9" max="9"/>
    <col width="12" customWidth="1" min="10" max="10"/>
    <col width="13" customWidth="1" min="11" max="11"/>
    <col width="14" customWidth="1" min="12" max="12"/>
  </cols>
  <sheetData>
    <row r="1">
      <c r="A1" s="4" t="inlineStr">
        <is>
          <t>Market</t>
        </is>
      </c>
      <c r="B1" s="4" t="inlineStr">
        <is>
          <t>WeekEnding</t>
        </is>
      </c>
      <c r="C1" s="4" t="inlineStr">
        <is>
          <t>Benchmark</t>
        </is>
      </c>
      <c r="D1" s="4" t="inlineStr">
        <is>
          <t>portfolio_start_value</t>
        </is>
      </c>
      <c r="E1" s="4" t="inlineStr">
        <is>
          <t>portfolio_end_value</t>
        </is>
      </c>
      <c r="F1" s="4" t="inlineStr">
        <is>
          <t>weekly_pnl</t>
        </is>
      </c>
      <c r="G1" s="4" t="inlineStr">
        <is>
          <t>weekly_return</t>
        </is>
      </c>
      <c r="H1" s="4" t="inlineStr">
        <is>
          <t>benchmark_return</t>
        </is>
      </c>
      <c r="I1" s="4" t="inlineStr">
        <is>
          <t>excess_return</t>
        </is>
      </c>
      <c r="J1" s="4" t="inlineStr">
        <is>
          <t>action</t>
        </is>
      </c>
      <c r="K1" s="4" t="inlineStr">
        <is>
          <t>in_tickers</t>
        </is>
      </c>
      <c r="L1" s="4" t="inlineStr">
        <is>
          <t>out_tickers</t>
        </is>
      </c>
    </row>
    <row r="2">
      <c r="A2" s="5" t="inlineStr">
        <is>
          <t>Italy30</t>
        </is>
      </c>
      <c r="B2" s="5" t="inlineStr">
        <is>
          <t>2026-06-05</t>
        </is>
      </c>
      <c r="C2" s="5" t="inlineStr">
        <is>
          <t>EWI</t>
        </is>
      </c>
      <c r="D2" s="6">
        <f>Rebalance_Audit!J9</f>
        <v/>
      </c>
      <c r="E2" s="6">
        <f>Rebalance_Audit!R9</f>
        <v/>
      </c>
      <c r="F2" s="6">
        <f>E2-D2</f>
        <v/>
      </c>
      <c r="G2" s="7">
        <f>IF(D2=0,0,F2/D2)</f>
        <v/>
      </c>
      <c r="H2" s="7" t="n">
        <v>-0.0224</v>
      </c>
      <c r="I2" s="7">
        <f>G2-H2</f>
        <v/>
      </c>
      <c r="J2" s="5" t="inlineStr">
        <is>
          <t>initial</t>
        </is>
      </c>
      <c r="K2" s="5">
        <f>TEXTJOIN("|",TRUE,FILTER(Rebalance_Audit[Asset],(Rebalance_Audit[WeekEnding]=B2)*(Rebalance_Audit[target_weight]&gt;0)*(Rebalance_Audit[Asset]&lt;&gt;"Tot Portfolio"),""))</f>
        <v/>
      </c>
      <c r="L2" s="5" t="inlineStr"/>
    </row>
    <row r="3">
      <c r="A3" s="5" t="inlineStr">
        <is>
          <t>Italy30</t>
        </is>
      </c>
      <c r="B3" s="5" t="inlineStr">
        <is>
          <t>2026-06-12</t>
        </is>
      </c>
      <c r="C3" s="5" t="inlineStr">
        <is>
          <t>EWI</t>
        </is>
      </c>
      <c r="D3" s="6">
        <f>Rebalance_Audit!J17</f>
        <v/>
      </c>
      <c r="E3" s="6">
        <f>Rebalance_Audit!R17</f>
        <v/>
      </c>
      <c r="F3" s="6">
        <f>E3-D3</f>
        <v/>
      </c>
      <c r="G3" s="7">
        <f>IF(D3=0,0,F3/D3)</f>
        <v/>
      </c>
      <c r="H3" s="7" t="n">
        <v>0.0453</v>
      </c>
      <c r="I3" s="7">
        <f>G3-H3</f>
        <v/>
      </c>
      <c r="J3" s="5" t="inlineStr">
        <is>
          <t>rebalance</t>
        </is>
      </c>
      <c r="K3" s="5" t="inlineStr">
        <is>
          <t>TEN.MI</t>
        </is>
      </c>
      <c r="L3" s="5" t="inlineStr">
        <is>
          <t>ENI.MI</t>
        </is>
      </c>
    </row>
    <row r="4">
      <c r="A4" s="5" t="inlineStr">
        <is>
          <t>Italy30</t>
        </is>
      </c>
      <c r="B4" s="5" t="inlineStr">
        <is>
          <t>2026-06-19</t>
        </is>
      </c>
      <c r="C4" s="5" t="inlineStr">
        <is>
          <t>EWI</t>
        </is>
      </c>
      <c r="D4" s="6">
        <f>Rebalance_Audit!J25</f>
        <v/>
      </c>
      <c r="E4" s="6">
        <f>Rebalance_Audit!R25</f>
        <v/>
      </c>
      <c r="F4" s="6">
        <f>E4-D4</f>
        <v/>
      </c>
      <c r="G4" s="7">
        <f>IF(D4=0,0,F4/D4)</f>
        <v/>
      </c>
      <c r="H4" s="7" t="n">
        <v>0.0186</v>
      </c>
      <c r="I4" s="7">
        <f>G4-H4</f>
        <v/>
      </c>
      <c r="J4" s="5" t="inlineStr">
        <is>
          <t>hold</t>
        </is>
      </c>
      <c r="K4" s="5" t="inlineStr"/>
      <c r="L4" s="5" t="inlineStr"/>
    </row>
  </sheetData>
  <autoFilter ref="A1:L4"/>
  <conditionalFormatting sqref="F2:F4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G2:G4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I2:I4">
    <cfRule type="cellIs" priority="5" operator="lessThan" dxfId="0">
      <formula>0</formula>
    </cfRule>
    <cfRule type="cellIs" priority="6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28" customWidth="1" min="5" max="5"/>
    <col width="12" customWidth="1" min="6" max="6"/>
    <col width="13" customWidth="1" min="7" max="7"/>
    <col width="18" customWidth="1" min="8" max="8"/>
    <col width="13" customWidth="1" min="9" max="9"/>
    <col width="15" customWidth="1" min="10" max="10"/>
    <col width="16" customWidth="1" min="11" max="11"/>
    <col width="12" customWidth="1" min="12" max="12"/>
    <col width="16" customWidth="1" min="13" max="13"/>
    <col width="15" customWidth="1" min="14" max="14"/>
    <col width="13" customWidth="1" min="15" max="15"/>
    <col width="17" customWidth="1" min="16" max="16"/>
    <col width="12" customWidth="1" min="17" max="17"/>
    <col width="14" customWidth="1" min="18" max="18"/>
    <col width="15" customWidth="1" min="19" max="19"/>
    <col width="19" customWidth="1" min="20" max="20"/>
    <col width="28" customWidth="1" min="21" max="21"/>
  </cols>
  <sheetData>
    <row r="1">
      <c r="A1" s="4" t="inlineStr">
        <is>
          <t>Market</t>
        </is>
      </c>
      <c r="B1" s="4" t="inlineStr">
        <is>
          <t>WeekEnding</t>
        </is>
      </c>
      <c r="C1" s="4" t="inlineStr">
        <is>
          <t>Benchmark</t>
        </is>
      </c>
      <c r="D1" s="4" t="inlineStr">
        <is>
          <t>Asset</t>
        </is>
      </c>
      <c r="E1" s="4" t="inlineStr">
        <is>
          <t>Company</t>
        </is>
      </c>
      <c r="F1" s="4" t="inlineStr">
        <is>
          <t>Sector</t>
        </is>
      </c>
      <c r="G1" s="4" t="inlineStr">
        <is>
          <t>last_price</t>
        </is>
      </c>
      <c r="H1" s="4" t="inlineStr">
        <is>
          <t>position_before</t>
        </is>
      </c>
      <c r="I1" s="4" t="inlineStr">
        <is>
          <t>qty_before</t>
        </is>
      </c>
      <c r="J1" s="4" t="inlineStr">
        <is>
          <t>value_before</t>
        </is>
      </c>
      <c r="K1" s="4" t="inlineStr">
        <is>
          <t>weight_before</t>
        </is>
      </c>
      <c r="L1" s="4" t="inlineStr">
        <is>
          <t>Status</t>
        </is>
      </c>
      <c r="M1" s="4" t="inlineStr">
        <is>
          <t>target_weight</t>
        </is>
      </c>
      <c r="N1" s="4" t="inlineStr">
        <is>
          <t>value_change</t>
        </is>
      </c>
      <c r="O1" s="4" t="inlineStr">
        <is>
          <t>qty_change</t>
        </is>
      </c>
      <c r="P1" s="4" t="inlineStr">
        <is>
          <t>position_after</t>
        </is>
      </c>
      <c r="Q1" s="4" t="inlineStr">
        <is>
          <t>qty_after</t>
        </is>
      </c>
      <c r="R1" s="4" t="inlineStr">
        <is>
          <t>value_after</t>
        </is>
      </c>
      <c r="S1" s="4" t="inlineStr">
        <is>
          <t>weight_after</t>
        </is>
      </c>
      <c r="T1" s="4" t="inlineStr">
        <is>
          <t>benchmark_return</t>
        </is>
      </c>
      <c r="U1" s="4" t="inlineStr">
        <is>
          <t>notes</t>
        </is>
      </c>
    </row>
    <row r="2">
      <c r="A2" s="5" t="inlineStr">
        <is>
          <t>Italy30</t>
        </is>
      </c>
      <c r="B2" s="5" t="inlineStr">
        <is>
          <t>2026-06-05</t>
        </is>
      </c>
      <c r="C2" s="5" t="inlineStr">
        <is>
          <t>EWI</t>
        </is>
      </c>
      <c r="D2" s="5" t="inlineStr">
        <is>
          <t>PRY.MI</t>
        </is>
      </c>
      <c r="E2" s="5" t="inlineStr">
        <is>
          <t>Prysmian</t>
        </is>
      </c>
      <c r="F2" s="5" t="inlineStr">
        <is>
          <t>Industrials</t>
        </is>
      </c>
      <c r="G2" s="6" t="n">
        <v>91.2</v>
      </c>
      <c r="H2" s="5" t="inlineStr">
        <is>
          <t>PRY.MI</t>
        </is>
      </c>
      <c r="I2" s="8">
        <f>IF(M2&gt;0,InitialCapital/5/G2,0)</f>
        <v/>
      </c>
      <c r="J2" s="6">
        <f>I2*G2</f>
        <v/>
      </c>
      <c r="K2" s="7">
        <f>IF($J$9=0,0,J2/$J$9)</f>
        <v/>
      </c>
      <c r="L2" s="5" t="inlineStr">
        <is>
          <t>SELECTED</t>
        </is>
      </c>
      <c r="M2" s="7" t="n">
        <v>0.2</v>
      </c>
      <c r="N2" s="6">
        <f>M2*$J$9-J2</f>
        <v/>
      </c>
      <c r="O2" s="8">
        <f>IF(G2=0,0,N2/G2)</f>
        <v/>
      </c>
      <c r="P2" s="5">
        <f>IF(M2&gt;0,D2,"")</f>
        <v/>
      </c>
      <c r="Q2" s="8">
        <f>I2+O2</f>
        <v/>
      </c>
      <c r="R2" s="6">
        <f>Q2*G2</f>
        <v/>
      </c>
      <c r="S2" s="7">
        <f>IF($R$9=0,0,R2/$R$9)</f>
        <v/>
      </c>
      <c r="T2" s="7" t="n">
        <v>-0.0224</v>
      </c>
      <c r="U2" s="5" t="inlineStr">
        <is>
          <t>initial model portfolio</t>
        </is>
      </c>
    </row>
    <row r="3">
      <c r="A3" s="5" t="inlineStr">
        <is>
          <t>Italy30</t>
        </is>
      </c>
      <c r="B3" s="5" t="inlineStr">
        <is>
          <t>2026-06-05</t>
        </is>
      </c>
      <c r="C3" s="5" t="inlineStr">
        <is>
          <t>EWI</t>
        </is>
      </c>
      <c r="D3" s="5" t="inlineStr">
        <is>
          <t>TIT.MI</t>
        </is>
      </c>
      <c r="E3" s="5" t="inlineStr">
        <is>
          <t>Telecom Italia</t>
        </is>
      </c>
      <c r="F3" s="5" t="inlineStr">
        <is>
          <t>Communication Services</t>
        </is>
      </c>
      <c r="G3" s="6" t="n">
        <v>3.95</v>
      </c>
      <c r="H3" s="5" t="inlineStr">
        <is>
          <t>TIT.MI</t>
        </is>
      </c>
      <c r="I3" s="8">
        <f>IF(M3&gt;0,InitialCapital/5/G3,0)</f>
        <v/>
      </c>
      <c r="J3" s="6">
        <f>I3*G3</f>
        <v/>
      </c>
      <c r="K3" s="7">
        <f>IF($J$9=0,0,J3/$J$9)</f>
        <v/>
      </c>
      <c r="L3" s="5" t="inlineStr">
        <is>
          <t>SELECTED</t>
        </is>
      </c>
      <c r="M3" s="7" t="n">
        <v>0.2</v>
      </c>
      <c r="N3" s="6">
        <f>M3*$J$9-J3</f>
        <v/>
      </c>
      <c r="O3" s="8">
        <f>IF(G3=0,0,N3/G3)</f>
        <v/>
      </c>
      <c r="P3" s="5">
        <f>IF(M3&gt;0,D3,"")</f>
        <v/>
      </c>
      <c r="Q3" s="8">
        <f>I3+O3</f>
        <v/>
      </c>
      <c r="R3" s="6">
        <f>Q3*G3</f>
        <v/>
      </c>
      <c r="S3" s="7">
        <f>IF($R$9=0,0,R3/$R$9)</f>
        <v/>
      </c>
      <c r="T3" s="7" t="n">
        <v>-0.0224</v>
      </c>
      <c r="U3" s="5" t="inlineStr">
        <is>
          <t>initial model portfolio</t>
        </is>
      </c>
    </row>
    <row r="4">
      <c r="A4" s="5" t="inlineStr">
        <is>
          <t>Italy30</t>
        </is>
      </c>
      <c r="B4" s="5" t="inlineStr">
        <is>
          <t>2026-06-05</t>
        </is>
      </c>
      <c r="C4" s="5" t="inlineStr">
        <is>
          <t>EWI</t>
        </is>
      </c>
      <c r="D4" s="5" t="inlineStr">
        <is>
          <t>ENI.MI</t>
        </is>
      </c>
      <c r="E4" s="5" t="inlineStr">
        <is>
          <t>Eni</t>
        </is>
      </c>
      <c r="F4" s="5" t="inlineStr">
        <is>
          <t>Energy</t>
        </is>
      </c>
      <c r="G4" s="6" t="n">
        <v>23.4</v>
      </c>
      <c r="H4" s="5" t="inlineStr">
        <is>
          <t>ENI.MI</t>
        </is>
      </c>
      <c r="I4" s="8">
        <f>IF(M4&gt;0,InitialCapital/5/G4,0)</f>
        <v/>
      </c>
      <c r="J4" s="6">
        <f>I4*G4</f>
        <v/>
      </c>
      <c r="K4" s="7">
        <f>IF($J$9=0,0,J4/$J$9)</f>
        <v/>
      </c>
      <c r="L4" s="5" t="inlineStr">
        <is>
          <t>SELECTED</t>
        </is>
      </c>
      <c r="M4" s="7" t="n">
        <v>0.2</v>
      </c>
      <c r="N4" s="6">
        <f>M4*$J$9-J4</f>
        <v/>
      </c>
      <c r="O4" s="8">
        <f>IF(G4=0,0,N4/G4)</f>
        <v/>
      </c>
      <c r="P4" s="5">
        <f>IF(M4&gt;0,D4,"")</f>
        <v/>
      </c>
      <c r="Q4" s="8">
        <f>I4+O4</f>
        <v/>
      </c>
      <c r="R4" s="6">
        <f>Q4*G4</f>
        <v/>
      </c>
      <c r="S4" s="7">
        <f>IF($R$9=0,0,R4/$R$9)</f>
        <v/>
      </c>
      <c r="T4" s="7" t="n">
        <v>-0.0224</v>
      </c>
      <c r="U4" s="5" t="inlineStr">
        <is>
          <t>initial model portfolio</t>
        </is>
      </c>
    </row>
    <row r="5">
      <c r="A5" s="5" t="inlineStr">
        <is>
          <t>Italy30</t>
        </is>
      </c>
      <c r="B5" s="5" t="inlineStr">
        <is>
          <t>2026-06-05</t>
        </is>
      </c>
      <c r="C5" s="5" t="inlineStr">
        <is>
          <t>EWI</t>
        </is>
      </c>
      <c r="D5" s="5" t="inlineStr">
        <is>
          <t>SRG.MI</t>
        </is>
      </c>
      <c r="E5" s="5" t="inlineStr">
        <is>
          <t>Snam</t>
        </is>
      </c>
      <c r="F5" s="5" t="inlineStr">
        <is>
          <t>Utilities</t>
        </is>
      </c>
      <c r="G5" s="6" t="n">
        <v>6.55</v>
      </c>
      <c r="H5" s="5" t="inlineStr">
        <is>
          <t>SRG.MI</t>
        </is>
      </c>
      <c r="I5" s="8">
        <f>IF(M5&gt;0,InitialCapital/5/G5,0)</f>
        <v/>
      </c>
      <c r="J5" s="6">
        <f>I5*G5</f>
        <v/>
      </c>
      <c r="K5" s="7">
        <f>IF($J$9=0,0,J5/$J$9)</f>
        <v/>
      </c>
      <c r="L5" s="5" t="inlineStr">
        <is>
          <t>SELECTED</t>
        </is>
      </c>
      <c r="M5" s="7" t="n">
        <v>0.2</v>
      </c>
      <c r="N5" s="6">
        <f>M5*$J$9-J5</f>
        <v/>
      </c>
      <c r="O5" s="8">
        <f>IF(G5=0,0,N5/G5)</f>
        <v/>
      </c>
      <c r="P5" s="5">
        <f>IF(M5&gt;0,D5,"")</f>
        <v/>
      </c>
      <c r="Q5" s="8">
        <f>I5+O5</f>
        <v/>
      </c>
      <c r="R5" s="6">
        <f>Q5*G5</f>
        <v/>
      </c>
      <c r="S5" s="7">
        <f>IF($R$9=0,0,R5/$R$9)</f>
        <v/>
      </c>
      <c r="T5" s="7" t="n">
        <v>-0.0224</v>
      </c>
      <c r="U5" s="5" t="inlineStr">
        <is>
          <t>initial model portfolio</t>
        </is>
      </c>
    </row>
    <row r="6">
      <c r="A6" s="5" t="inlineStr">
        <is>
          <t>Italy30</t>
        </is>
      </c>
      <c r="B6" s="5" t="inlineStr">
        <is>
          <t>2026-06-05</t>
        </is>
      </c>
      <c r="C6" s="5" t="inlineStr">
        <is>
          <t>EWI</t>
        </is>
      </c>
      <c r="D6" s="5" t="inlineStr">
        <is>
          <t>STMMI.MI</t>
        </is>
      </c>
      <c r="E6" s="5" t="inlineStr">
        <is>
          <t>STMicroelectronics</t>
        </is>
      </c>
      <c r="F6" s="5" t="inlineStr">
        <is>
          <t>Technology</t>
        </is>
      </c>
      <c r="G6" s="6" t="n">
        <v>60.1</v>
      </c>
      <c r="H6" s="5" t="inlineStr">
        <is>
          <t>STMMI.MI</t>
        </is>
      </c>
      <c r="I6" s="8">
        <f>IF(M6&gt;0,InitialCapital/5/G6,0)</f>
        <v/>
      </c>
      <c r="J6" s="6">
        <f>I6*G6</f>
        <v/>
      </c>
      <c r="K6" s="7">
        <f>IF($J$9=0,0,J6/$J$9)</f>
        <v/>
      </c>
      <c r="L6" s="5" t="inlineStr">
        <is>
          <t>SELECTED</t>
        </is>
      </c>
      <c r="M6" s="7" t="n">
        <v>0.2</v>
      </c>
      <c r="N6" s="6">
        <f>M6*$J$9-J6</f>
        <v/>
      </c>
      <c r="O6" s="8">
        <f>IF(G6=0,0,N6/G6)</f>
        <v/>
      </c>
      <c r="P6" s="5">
        <f>IF(M6&gt;0,D6,"")</f>
        <v/>
      </c>
      <c r="Q6" s="8">
        <f>I6+O6</f>
        <v/>
      </c>
      <c r="R6" s="6">
        <f>Q6*G6</f>
        <v/>
      </c>
      <c r="S6" s="7">
        <f>IF($R$9=0,0,R6/$R$9)</f>
        <v/>
      </c>
      <c r="T6" s="7" t="n">
        <v>-0.0224</v>
      </c>
      <c r="U6" s="5" t="inlineStr">
        <is>
          <t>initial model portfolio</t>
        </is>
      </c>
    </row>
    <row r="7">
      <c r="A7" s="5" t="inlineStr">
        <is>
          <t>Italy30</t>
        </is>
      </c>
      <c r="B7" s="5" t="inlineStr">
        <is>
          <t>2026-06-05</t>
        </is>
      </c>
      <c r="C7" s="5" t="inlineStr">
        <is>
          <t>EWI</t>
        </is>
      </c>
      <c r="D7" s="5" t="inlineStr">
        <is>
          <t>TEN.MI</t>
        </is>
      </c>
      <c r="E7" s="5" t="inlineStr">
        <is>
          <t>Tenaris</t>
        </is>
      </c>
      <c r="F7" s="5" t="inlineStr">
        <is>
          <t>Energy</t>
        </is>
      </c>
      <c r="G7" s="6" t="n">
        <v>26.4</v>
      </c>
      <c r="H7" s="5" t="inlineStr"/>
      <c r="I7" s="8">
        <f>IF(M7&gt;0,InitialCapital/5/G7,0)</f>
        <v/>
      </c>
      <c r="J7" s="6">
        <f>I7*G7</f>
        <v/>
      </c>
      <c r="K7" s="7">
        <f>IF($J$9=0,0,J7/$J$9)</f>
        <v/>
      </c>
      <c r="L7" s="5" t="inlineStr">
        <is>
          <t>WATCHLIST</t>
        </is>
      </c>
      <c r="M7" s="7" t="n">
        <v>0</v>
      </c>
      <c r="N7" s="6">
        <f>M7*$J$9-J7</f>
        <v/>
      </c>
      <c r="O7" s="8">
        <f>IF(G7=0,0,N7/G7)</f>
        <v/>
      </c>
      <c r="P7" s="5">
        <f>IF(M7&gt;0,D7,"")</f>
        <v/>
      </c>
      <c r="Q7" s="8">
        <f>I7+O7</f>
        <v/>
      </c>
      <c r="R7" s="6">
        <f>Q7*G7</f>
        <v/>
      </c>
      <c r="S7" s="7">
        <f>IF($R$9=0,0,R7/$R$9)</f>
        <v/>
      </c>
      <c r="T7" s="7" t="n">
        <v>-0.0224</v>
      </c>
      <c r="U7" s="5" t="inlineStr">
        <is>
          <t>initial model portfolio</t>
        </is>
      </c>
    </row>
    <row r="8">
      <c r="A8" s="5" t="inlineStr">
        <is>
          <t>Italy30</t>
        </is>
      </c>
      <c r="B8" s="5" t="inlineStr">
        <is>
          <t>2026-06-05</t>
        </is>
      </c>
      <c r="C8" s="5" t="inlineStr">
        <is>
          <t>EWI</t>
        </is>
      </c>
      <c r="D8" s="5" t="inlineStr">
        <is>
          <t>UNI.MI</t>
        </is>
      </c>
      <c r="E8" s="5" t="inlineStr">
        <is>
          <t>Unipol</t>
        </is>
      </c>
      <c r="F8" s="5" t="inlineStr">
        <is>
          <t>Financial Services</t>
        </is>
      </c>
      <c r="G8" s="6" t="n">
        <v>20.95</v>
      </c>
      <c r="H8" s="5" t="inlineStr"/>
      <c r="I8" s="8">
        <f>IF(M8&gt;0,InitialCapital/5/G8,0)</f>
        <v/>
      </c>
      <c r="J8" s="6">
        <f>I8*G8</f>
        <v/>
      </c>
      <c r="K8" s="7">
        <f>IF($J$9=0,0,J8/$J$9)</f>
        <v/>
      </c>
      <c r="L8" s="5" t="inlineStr">
        <is>
          <t>WATCHLIST</t>
        </is>
      </c>
      <c r="M8" s="7" t="n">
        <v>0</v>
      </c>
      <c r="N8" s="6">
        <f>M8*$J$9-J8</f>
        <v/>
      </c>
      <c r="O8" s="8">
        <f>IF(G8=0,0,N8/G8)</f>
        <v/>
      </c>
      <c r="P8" s="5">
        <f>IF(M8&gt;0,D8,"")</f>
        <v/>
      </c>
      <c r="Q8" s="8">
        <f>I8+O8</f>
        <v/>
      </c>
      <c r="R8" s="6">
        <f>Q8*G8</f>
        <v/>
      </c>
      <c r="S8" s="7">
        <f>IF($R$9=0,0,R8/$R$9)</f>
        <v/>
      </c>
      <c r="T8" s="7" t="n">
        <v>-0.0224</v>
      </c>
      <c r="U8" s="5" t="inlineStr">
        <is>
          <t>initial model portfolio</t>
        </is>
      </c>
    </row>
    <row r="9">
      <c r="A9" s="9" t="inlineStr">
        <is>
          <t>Italy30</t>
        </is>
      </c>
      <c r="B9" s="9" t="inlineStr">
        <is>
          <t>2026-06-05</t>
        </is>
      </c>
      <c r="C9" s="9" t="inlineStr">
        <is>
          <t>EWI</t>
        </is>
      </c>
      <c r="D9" s="9" t="inlineStr">
        <is>
          <t>Tot Portfolio</t>
        </is>
      </c>
      <c r="E9" s="9" t="inlineStr"/>
      <c r="F9" s="9" t="inlineStr"/>
      <c r="G9" s="10" t="inlineStr"/>
      <c r="H9" s="9" t="inlineStr"/>
      <c r="I9" s="11" t="inlineStr"/>
      <c r="J9" s="10">
        <f>SUM(J2:J8)</f>
        <v/>
      </c>
      <c r="K9" s="12">
        <f>SUM(K2:K8)</f>
        <v/>
      </c>
      <c r="L9" s="9" t="inlineStr">
        <is>
          <t>TOTAL</t>
        </is>
      </c>
      <c r="M9" s="12">
        <f>SUM(M2:M8)</f>
        <v/>
      </c>
      <c r="N9" s="10">
        <f>SUM(N2:N8)</f>
        <v/>
      </c>
      <c r="O9" s="11">
        <f>SUM(O2:O8)</f>
        <v/>
      </c>
      <c r="P9" s="9" t="inlineStr"/>
      <c r="Q9" s="11" t="inlineStr"/>
      <c r="R9" s="10">
        <f>SUM(R2:R8)</f>
        <v/>
      </c>
      <c r="S9" s="12">
        <f>SUM(S2:S8)</f>
        <v/>
      </c>
      <c r="T9" s="12" t="n">
        <v>-0.0224</v>
      </c>
      <c r="U9" s="9" t="inlineStr"/>
    </row>
    <row r="10">
      <c r="A10" s="5" t="inlineStr">
        <is>
          <t>Italy30</t>
        </is>
      </c>
      <c r="B10" s="5" t="inlineStr">
        <is>
          <t>2026-06-12</t>
        </is>
      </c>
      <c r="C10" s="5" t="inlineStr">
        <is>
          <t>EWI</t>
        </is>
      </c>
      <c r="D10" s="5" t="inlineStr">
        <is>
          <t>PRY.MI</t>
        </is>
      </c>
      <c r="E10" s="5" t="inlineStr">
        <is>
          <t>Prysmian</t>
        </is>
      </c>
      <c r="F10" s="5" t="inlineStr">
        <is>
          <t>Industrials</t>
        </is>
      </c>
      <c r="G10" s="6" t="n">
        <v>92.40000000000001</v>
      </c>
      <c r="H10" s="5">
        <f>P2</f>
        <v/>
      </c>
      <c r="I10" s="8">
        <f>Q2</f>
        <v/>
      </c>
      <c r="J10" s="6">
        <f>I10*G10</f>
        <v/>
      </c>
      <c r="K10" s="7">
        <f>IF($J$17=0,0,J10/$J$17)</f>
        <v/>
      </c>
      <c r="L10" s="5" t="inlineStr">
        <is>
          <t>SELECTED</t>
        </is>
      </c>
      <c r="M10" s="7" t="n">
        <v>0.2</v>
      </c>
      <c r="N10" s="6">
        <f>M10*$J$17-J10</f>
        <v/>
      </c>
      <c r="O10" s="8">
        <f>IF(G10=0,0,N10/G10)</f>
        <v/>
      </c>
      <c r="P10" s="5">
        <f>IF(M10&gt;0,D10,"")</f>
        <v/>
      </c>
      <c r="Q10" s="8">
        <f>I10+O10</f>
        <v/>
      </c>
      <c r="R10" s="6">
        <f>Q10*G10</f>
        <v/>
      </c>
      <c r="S10" s="7">
        <f>IF($R$17=0,0,R10/$R$17)</f>
        <v/>
      </c>
      <c r="T10" s="7" t="n">
        <v>0.0453</v>
      </c>
      <c r="U10" s="5" t="inlineStr">
        <is>
          <t>remained in weekly selection</t>
        </is>
      </c>
    </row>
    <row r="11">
      <c r="A11" s="5" t="inlineStr">
        <is>
          <t>Italy30</t>
        </is>
      </c>
      <c r="B11" s="5" t="inlineStr">
        <is>
          <t>2026-06-12</t>
        </is>
      </c>
      <c r="C11" s="5" t="inlineStr">
        <is>
          <t>EWI</t>
        </is>
      </c>
      <c r="D11" s="5" t="inlineStr">
        <is>
          <t>TIT.MI</t>
        </is>
      </c>
      <c r="E11" s="5" t="inlineStr">
        <is>
          <t>Telecom Italia</t>
        </is>
      </c>
      <c r="F11" s="5" t="inlineStr">
        <is>
          <t>Communication Services</t>
        </is>
      </c>
      <c r="G11" s="6" t="n">
        <v>4.04</v>
      </c>
      <c r="H11" s="5">
        <f>P3</f>
        <v/>
      </c>
      <c r="I11" s="8">
        <f>Q3</f>
        <v/>
      </c>
      <c r="J11" s="6">
        <f>I11*G11</f>
        <v/>
      </c>
      <c r="K11" s="7">
        <f>IF($J$17=0,0,J11/$J$17)</f>
        <v/>
      </c>
      <c r="L11" s="5" t="inlineStr">
        <is>
          <t>SELECTED</t>
        </is>
      </c>
      <c r="M11" s="7" t="n">
        <v>0.2</v>
      </c>
      <c r="N11" s="6">
        <f>M11*$J$17-J11</f>
        <v/>
      </c>
      <c r="O11" s="8">
        <f>IF(G11=0,0,N11/G11)</f>
        <v/>
      </c>
      <c r="P11" s="5">
        <f>IF(M11&gt;0,D11,"")</f>
        <v/>
      </c>
      <c r="Q11" s="8">
        <f>I11+O11</f>
        <v/>
      </c>
      <c r="R11" s="6">
        <f>Q11*G11</f>
        <v/>
      </c>
      <c r="S11" s="7">
        <f>IF($R$17=0,0,R11/$R$17)</f>
        <v/>
      </c>
      <c r="T11" s="7" t="n">
        <v>0.0453</v>
      </c>
      <c r="U11" s="5" t="inlineStr">
        <is>
          <t>remained in weekly selection</t>
        </is>
      </c>
    </row>
    <row r="12">
      <c r="A12" s="5" t="inlineStr">
        <is>
          <t>Italy30</t>
        </is>
      </c>
      <c r="B12" s="5" t="inlineStr">
        <is>
          <t>2026-06-12</t>
        </is>
      </c>
      <c r="C12" s="5" t="inlineStr">
        <is>
          <t>EWI</t>
        </is>
      </c>
      <c r="D12" s="5" t="inlineStr">
        <is>
          <t>ENI.MI</t>
        </is>
      </c>
      <c r="E12" s="5" t="inlineStr">
        <is>
          <t>Eni</t>
        </is>
      </c>
      <c r="F12" s="5" t="inlineStr">
        <is>
          <t>Energy</t>
        </is>
      </c>
      <c r="G12" s="6" t="n">
        <v>23.22</v>
      </c>
      <c r="H12" s="5">
        <f>P4</f>
        <v/>
      </c>
      <c r="I12" s="8">
        <f>Q4</f>
        <v/>
      </c>
      <c r="J12" s="6">
        <f>I12*G12</f>
        <v/>
      </c>
      <c r="K12" s="7">
        <f>IF($J$17=0,0,J12/$J$17)</f>
        <v/>
      </c>
      <c r="L12" s="5" t="inlineStr">
        <is>
          <t>WATCHLIST</t>
        </is>
      </c>
      <c r="M12" s="7" t="n">
        <v>0</v>
      </c>
      <c r="N12" s="6">
        <f>M12*$J$17-J12</f>
        <v/>
      </c>
      <c r="O12" s="8">
        <f>IF(G12=0,0,N12/G12)</f>
        <v/>
      </c>
      <c r="P12" s="5">
        <f>IF(M12&gt;0,D12,"")</f>
        <v/>
      </c>
      <c r="Q12" s="8">
        <f>I12+O12</f>
        <v/>
      </c>
      <c r="R12" s="6">
        <f>Q12*G12</f>
        <v/>
      </c>
      <c r="S12" s="7">
        <f>IF($R$17=0,0,R12/$R$17)</f>
        <v/>
      </c>
      <c r="T12" s="7" t="n">
        <v>0.0453</v>
      </c>
      <c r="U12" s="5" t="inlineStr">
        <is>
          <t>removed from weekly selection</t>
        </is>
      </c>
    </row>
    <row r="13">
      <c r="A13" s="5" t="inlineStr">
        <is>
          <t>Italy30</t>
        </is>
      </c>
      <c r="B13" s="5" t="inlineStr">
        <is>
          <t>2026-06-12</t>
        </is>
      </c>
      <c r="C13" s="5" t="inlineStr">
        <is>
          <t>EWI</t>
        </is>
      </c>
      <c r="D13" s="5" t="inlineStr">
        <is>
          <t>SRG.MI</t>
        </is>
      </c>
      <c r="E13" s="5" t="inlineStr">
        <is>
          <t>Snam</t>
        </is>
      </c>
      <c r="F13" s="5" t="inlineStr">
        <is>
          <t>Utilities</t>
        </is>
      </c>
      <c r="G13" s="6" t="n">
        <v>6.71</v>
      </c>
      <c r="H13" s="5">
        <f>P5</f>
        <v/>
      </c>
      <c r="I13" s="8">
        <f>Q5</f>
        <v/>
      </c>
      <c r="J13" s="6">
        <f>I13*G13</f>
        <v/>
      </c>
      <c r="K13" s="7">
        <f>IF($J$17=0,0,J13/$J$17)</f>
        <v/>
      </c>
      <c r="L13" s="5" t="inlineStr">
        <is>
          <t>SELECTED</t>
        </is>
      </c>
      <c r="M13" s="7" t="n">
        <v>0.2</v>
      </c>
      <c r="N13" s="6">
        <f>M13*$J$17-J13</f>
        <v/>
      </c>
      <c r="O13" s="8">
        <f>IF(G13=0,0,N13/G13)</f>
        <v/>
      </c>
      <c r="P13" s="5">
        <f>IF(M13&gt;0,D13,"")</f>
        <v/>
      </c>
      <c r="Q13" s="8">
        <f>I13+O13</f>
        <v/>
      </c>
      <c r="R13" s="6">
        <f>Q13*G13</f>
        <v/>
      </c>
      <c r="S13" s="7">
        <f>IF($R$17=0,0,R13/$R$17)</f>
        <v/>
      </c>
      <c r="T13" s="7" t="n">
        <v>0.0453</v>
      </c>
      <c r="U13" s="5" t="inlineStr">
        <is>
          <t>remained in weekly selection</t>
        </is>
      </c>
    </row>
    <row r="14">
      <c r="A14" s="5" t="inlineStr">
        <is>
          <t>Italy30</t>
        </is>
      </c>
      <c r="B14" s="5" t="inlineStr">
        <is>
          <t>2026-06-12</t>
        </is>
      </c>
      <c r="C14" s="5" t="inlineStr">
        <is>
          <t>EWI</t>
        </is>
      </c>
      <c r="D14" s="5" t="inlineStr">
        <is>
          <t>STMMI.MI</t>
        </is>
      </c>
      <c r="E14" s="5" t="inlineStr">
        <is>
          <t>STMicroelectronics</t>
        </is>
      </c>
      <c r="F14" s="5" t="inlineStr">
        <is>
          <t>Technology</t>
        </is>
      </c>
      <c r="G14" s="6" t="n">
        <v>61.82</v>
      </c>
      <c r="H14" s="5">
        <f>P6</f>
        <v/>
      </c>
      <c r="I14" s="8">
        <f>Q6</f>
        <v/>
      </c>
      <c r="J14" s="6">
        <f>I14*G14</f>
        <v/>
      </c>
      <c r="K14" s="7">
        <f>IF($J$17=0,0,J14/$J$17)</f>
        <v/>
      </c>
      <c r="L14" s="5" t="inlineStr">
        <is>
          <t>SELECTED</t>
        </is>
      </c>
      <c r="M14" s="7" t="n">
        <v>0.2</v>
      </c>
      <c r="N14" s="6">
        <f>M14*$J$17-J14</f>
        <v/>
      </c>
      <c r="O14" s="8">
        <f>IF(G14=0,0,N14/G14)</f>
        <v/>
      </c>
      <c r="P14" s="5">
        <f>IF(M14&gt;0,D14,"")</f>
        <v/>
      </c>
      <c r="Q14" s="8">
        <f>I14+O14</f>
        <v/>
      </c>
      <c r="R14" s="6">
        <f>Q14*G14</f>
        <v/>
      </c>
      <c r="S14" s="7">
        <f>IF($R$17=0,0,R14/$R$17)</f>
        <v/>
      </c>
      <c r="T14" s="7" t="n">
        <v>0.0453</v>
      </c>
      <c r="U14" s="5" t="inlineStr">
        <is>
          <t>remained in weekly selection</t>
        </is>
      </c>
    </row>
    <row r="15">
      <c r="A15" s="5" t="inlineStr">
        <is>
          <t>Italy30</t>
        </is>
      </c>
      <c r="B15" s="5" t="inlineStr">
        <is>
          <t>2026-06-12</t>
        </is>
      </c>
      <c r="C15" s="5" t="inlineStr">
        <is>
          <t>EWI</t>
        </is>
      </c>
      <c r="D15" s="5" t="inlineStr">
        <is>
          <t>TEN.MI</t>
        </is>
      </c>
      <c r="E15" s="5" t="inlineStr">
        <is>
          <t>Tenaris</t>
        </is>
      </c>
      <c r="F15" s="5" t="inlineStr">
        <is>
          <t>Energy</t>
        </is>
      </c>
      <c r="G15" s="6" t="n">
        <v>27.12</v>
      </c>
      <c r="H15" s="5">
        <f>P7</f>
        <v/>
      </c>
      <c r="I15" s="8">
        <f>Q7</f>
        <v/>
      </c>
      <c r="J15" s="6">
        <f>I15*G15</f>
        <v/>
      </c>
      <c r="K15" s="7">
        <f>IF($J$17=0,0,J15/$J$17)</f>
        <v/>
      </c>
      <c r="L15" s="5" t="inlineStr">
        <is>
          <t>SELECTED</t>
        </is>
      </c>
      <c r="M15" s="7" t="n">
        <v>0.2</v>
      </c>
      <c r="N15" s="6">
        <f>M15*$J$17-J15</f>
        <v/>
      </c>
      <c r="O15" s="8">
        <f>IF(G15=0,0,N15/G15)</f>
        <v/>
      </c>
      <c r="P15" s="5">
        <f>IF(M15&gt;0,D15,"")</f>
        <v/>
      </c>
      <c r="Q15" s="8">
        <f>I15+O15</f>
        <v/>
      </c>
      <c r="R15" s="6">
        <f>Q15*G15</f>
        <v/>
      </c>
      <c r="S15" s="7">
        <f>IF($R$17=0,0,R15/$R$17)</f>
        <v/>
      </c>
      <c r="T15" s="7" t="n">
        <v>0.0453</v>
      </c>
      <c r="U15" s="5" t="inlineStr">
        <is>
          <t>entered weekly selection</t>
        </is>
      </c>
    </row>
    <row r="16">
      <c r="A16" s="5" t="inlineStr">
        <is>
          <t>Italy30</t>
        </is>
      </c>
      <c r="B16" s="5" t="inlineStr">
        <is>
          <t>2026-06-12</t>
        </is>
      </c>
      <c r="C16" s="5" t="inlineStr">
        <is>
          <t>EWI</t>
        </is>
      </c>
      <c r="D16" s="5" t="inlineStr">
        <is>
          <t>UNI.MI</t>
        </is>
      </c>
      <c r="E16" s="5" t="inlineStr">
        <is>
          <t>Unipol</t>
        </is>
      </c>
      <c r="F16" s="5" t="inlineStr">
        <is>
          <t>Financial Services</t>
        </is>
      </c>
      <c r="G16" s="6" t="n">
        <v>21.1</v>
      </c>
      <c r="H16" s="5">
        <f>P8</f>
        <v/>
      </c>
      <c r="I16" s="8">
        <f>Q8</f>
        <v/>
      </c>
      <c r="J16" s="6">
        <f>I16*G16</f>
        <v/>
      </c>
      <c r="K16" s="7">
        <f>IF($J$17=0,0,J16/$J$17)</f>
        <v/>
      </c>
      <c r="L16" s="5" t="inlineStr">
        <is>
          <t>WATCHLIST</t>
        </is>
      </c>
      <c r="M16" s="7" t="n">
        <v>0</v>
      </c>
      <c r="N16" s="6">
        <f>M16*$J$17-J16</f>
        <v/>
      </c>
      <c r="O16" s="8">
        <f>IF(G16=0,0,N16/G16)</f>
        <v/>
      </c>
      <c r="P16" s="5">
        <f>IF(M16&gt;0,D16,"")</f>
        <v/>
      </c>
      <c r="Q16" s="8">
        <f>I16+O16</f>
        <v/>
      </c>
      <c r="R16" s="6">
        <f>Q16*G16</f>
        <v/>
      </c>
      <c r="S16" s="7">
        <f>IF($R$17=0,0,R16/$R$17)</f>
        <v/>
      </c>
      <c r="T16" s="7" t="n">
        <v>0.0453</v>
      </c>
      <c r="U16" s="5" t="inlineStr"/>
    </row>
    <row r="17">
      <c r="A17" s="9" t="inlineStr">
        <is>
          <t>Italy30</t>
        </is>
      </c>
      <c r="B17" s="9" t="inlineStr">
        <is>
          <t>2026-06-12</t>
        </is>
      </c>
      <c r="C17" s="9" t="inlineStr">
        <is>
          <t>EWI</t>
        </is>
      </c>
      <c r="D17" s="9" t="inlineStr">
        <is>
          <t>Tot Portfolio</t>
        </is>
      </c>
      <c r="E17" s="9" t="inlineStr"/>
      <c r="F17" s="9" t="inlineStr"/>
      <c r="G17" s="10" t="inlineStr"/>
      <c r="H17" s="9" t="inlineStr"/>
      <c r="I17" s="11" t="inlineStr"/>
      <c r="J17" s="10">
        <f>SUM(J10:J16)</f>
        <v/>
      </c>
      <c r="K17" s="12">
        <f>SUM(K10:K16)</f>
        <v/>
      </c>
      <c r="L17" s="9" t="inlineStr">
        <is>
          <t>TOTAL</t>
        </is>
      </c>
      <c r="M17" s="12">
        <f>SUM(M10:M16)</f>
        <v/>
      </c>
      <c r="N17" s="10">
        <f>SUM(N10:N16)</f>
        <v/>
      </c>
      <c r="O17" s="11">
        <f>SUM(O10:O16)</f>
        <v/>
      </c>
      <c r="P17" s="9" t="inlineStr"/>
      <c r="Q17" s="11" t="inlineStr"/>
      <c r="R17" s="10">
        <f>SUM(R10:R16)</f>
        <v/>
      </c>
      <c r="S17" s="12">
        <f>SUM(S10:S16)</f>
        <v/>
      </c>
      <c r="T17" s="12" t="n">
        <v>0.0453</v>
      </c>
      <c r="U17" s="9" t="inlineStr"/>
    </row>
    <row r="18">
      <c r="A18" s="5" t="inlineStr">
        <is>
          <t>Italy30</t>
        </is>
      </c>
      <c r="B18" s="5" t="inlineStr">
        <is>
          <t>2026-06-19</t>
        </is>
      </c>
      <c r="C18" s="5" t="inlineStr">
        <is>
          <t>EWI</t>
        </is>
      </c>
      <c r="D18" s="5" t="inlineStr">
        <is>
          <t>PRY.MI</t>
        </is>
      </c>
      <c r="E18" s="5" t="inlineStr">
        <is>
          <t>Prysmian</t>
        </is>
      </c>
      <c r="F18" s="5" t="inlineStr">
        <is>
          <t>Industrials</t>
        </is>
      </c>
      <c r="G18" s="6" t="n">
        <v>93.09999999999999</v>
      </c>
      <c r="H18" s="5">
        <f>P10</f>
        <v/>
      </c>
      <c r="I18" s="8">
        <f>Q10</f>
        <v/>
      </c>
      <c r="J18" s="6">
        <f>I18*G18</f>
        <v/>
      </c>
      <c r="K18" s="7">
        <f>IF($J$25=0,0,J18/$J$25)</f>
        <v/>
      </c>
      <c r="L18" s="5" t="inlineStr">
        <is>
          <t>SELECTED</t>
        </is>
      </c>
      <c r="M18" s="7" t="n">
        <v>0.2</v>
      </c>
      <c r="N18" s="6">
        <f>M18*$J$25-J18</f>
        <v/>
      </c>
      <c r="O18" s="8">
        <f>IF(G18=0,0,N18/G18)</f>
        <v/>
      </c>
      <c r="P18" s="5">
        <f>IF(M18&gt;0,D18,"")</f>
        <v/>
      </c>
      <c r="Q18" s="8">
        <f>I18+O18</f>
        <v/>
      </c>
      <c r="R18" s="6">
        <f>Q18*G18</f>
        <v/>
      </c>
      <c r="S18" s="7">
        <f>IF($R$25=0,0,R18/$R$25)</f>
        <v/>
      </c>
      <c r="T18" s="7" t="n">
        <v>0.0186</v>
      </c>
      <c r="U18" s="5" t="inlineStr">
        <is>
          <t>remained in weekly selection</t>
        </is>
      </c>
    </row>
    <row r="19">
      <c r="A19" s="5" t="inlineStr">
        <is>
          <t>Italy30</t>
        </is>
      </c>
      <c r="B19" s="5" t="inlineStr">
        <is>
          <t>2026-06-19</t>
        </is>
      </c>
      <c r="C19" s="5" t="inlineStr">
        <is>
          <t>EWI</t>
        </is>
      </c>
      <c r="D19" s="5" t="inlineStr">
        <is>
          <t>TIT.MI</t>
        </is>
      </c>
      <c r="E19" s="5" t="inlineStr">
        <is>
          <t>Telecom Italia</t>
        </is>
      </c>
      <c r="F19" s="5" t="inlineStr">
        <is>
          <t>Communication Services</t>
        </is>
      </c>
      <c r="G19" s="6" t="n">
        <v>4.01</v>
      </c>
      <c r="H19" s="5">
        <f>P11</f>
        <v/>
      </c>
      <c r="I19" s="8">
        <f>Q11</f>
        <v/>
      </c>
      <c r="J19" s="6">
        <f>I19*G19</f>
        <v/>
      </c>
      <c r="K19" s="7">
        <f>IF($J$25=0,0,J19/$J$25)</f>
        <v/>
      </c>
      <c r="L19" s="5" t="inlineStr">
        <is>
          <t>SELECTED</t>
        </is>
      </c>
      <c r="M19" s="7" t="n">
        <v>0.2</v>
      </c>
      <c r="N19" s="6">
        <f>M19*$J$25-J19</f>
        <v/>
      </c>
      <c r="O19" s="8">
        <f>IF(G19=0,0,N19/G19)</f>
        <v/>
      </c>
      <c r="P19" s="5">
        <f>IF(M19&gt;0,D19,"")</f>
        <v/>
      </c>
      <c r="Q19" s="8">
        <f>I19+O19</f>
        <v/>
      </c>
      <c r="R19" s="6">
        <f>Q19*G19</f>
        <v/>
      </c>
      <c r="S19" s="7">
        <f>IF($R$25=0,0,R19/$R$25)</f>
        <v/>
      </c>
      <c r="T19" s="7" t="n">
        <v>0.0186</v>
      </c>
      <c r="U19" s="5" t="inlineStr">
        <is>
          <t>remained in weekly selection</t>
        </is>
      </c>
    </row>
    <row r="20">
      <c r="A20" s="5" t="inlineStr">
        <is>
          <t>Italy30</t>
        </is>
      </c>
      <c r="B20" s="5" t="inlineStr">
        <is>
          <t>2026-06-19</t>
        </is>
      </c>
      <c r="C20" s="5" t="inlineStr">
        <is>
          <t>EWI</t>
        </is>
      </c>
      <c r="D20" s="5" t="inlineStr">
        <is>
          <t>ENI.MI</t>
        </is>
      </c>
      <c r="E20" s="5" t="inlineStr">
        <is>
          <t>Eni</t>
        </is>
      </c>
      <c r="F20" s="5" t="inlineStr">
        <is>
          <t>Energy</t>
        </is>
      </c>
      <c r="G20" s="6" t="n">
        <v>23.05</v>
      </c>
      <c r="H20" s="5">
        <f>P12</f>
        <v/>
      </c>
      <c r="I20" s="8">
        <f>Q12</f>
        <v/>
      </c>
      <c r="J20" s="6">
        <f>I20*G20</f>
        <v/>
      </c>
      <c r="K20" s="7">
        <f>IF($J$25=0,0,J20/$J$25)</f>
        <v/>
      </c>
      <c r="L20" s="5" t="inlineStr">
        <is>
          <t>WATCHLIST</t>
        </is>
      </c>
      <c r="M20" s="7" t="n">
        <v>0</v>
      </c>
      <c r="N20" s="6">
        <f>M20*$J$25-J20</f>
        <v/>
      </c>
      <c r="O20" s="8">
        <f>IF(G20=0,0,N20/G20)</f>
        <v/>
      </c>
      <c r="P20" s="5">
        <f>IF(M20&gt;0,D20,"")</f>
        <v/>
      </c>
      <c r="Q20" s="8">
        <f>I20+O20</f>
        <v/>
      </c>
      <c r="R20" s="6">
        <f>Q20*G20</f>
        <v/>
      </c>
      <c r="S20" s="7">
        <f>IF($R$25=0,0,R20/$R$25)</f>
        <v/>
      </c>
      <c r="T20" s="7" t="n">
        <v>0.0186</v>
      </c>
      <c r="U20" s="5" t="inlineStr"/>
    </row>
    <row r="21">
      <c r="A21" s="5" t="inlineStr">
        <is>
          <t>Italy30</t>
        </is>
      </c>
      <c r="B21" s="5" t="inlineStr">
        <is>
          <t>2026-06-19</t>
        </is>
      </c>
      <c r="C21" s="5" t="inlineStr">
        <is>
          <t>EWI</t>
        </is>
      </c>
      <c r="D21" s="5" t="inlineStr">
        <is>
          <t>SRG.MI</t>
        </is>
      </c>
      <c r="E21" s="5" t="inlineStr">
        <is>
          <t>Snam</t>
        </is>
      </c>
      <c r="F21" s="5" t="inlineStr">
        <is>
          <t>Utilities</t>
        </is>
      </c>
      <c r="G21" s="6" t="n">
        <v>6.77</v>
      </c>
      <c r="H21" s="5">
        <f>P13</f>
        <v/>
      </c>
      <c r="I21" s="8">
        <f>Q13</f>
        <v/>
      </c>
      <c r="J21" s="6">
        <f>I21*G21</f>
        <v/>
      </c>
      <c r="K21" s="7">
        <f>IF($J$25=0,0,J21/$J$25)</f>
        <v/>
      </c>
      <c r="L21" s="5" t="inlineStr">
        <is>
          <t>SELECTED</t>
        </is>
      </c>
      <c r="M21" s="7" t="n">
        <v>0.2</v>
      </c>
      <c r="N21" s="6">
        <f>M21*$J$25-J21</f>
        <v/>
      </c>
      <c r="O21" s="8">
        <f>IF(G21=0,0,N21/G21)</f>
        <v/>
      </c>
      <c r="P21" s="5">
        <f>IF(M21&gt;0,D21,"")</f>
        <v/>
      </c>
      <c r="Q21" s="8">
        <f>I21+O21</f>
        <v/>
      </c>
      <c r="R21" s="6">
        <f>Q21*G21</f>
        <v/>
      </c>
      <c r="S21" s="7">
        <f>IF($R$25=0,0,R21/$R$25)</f>
        <v/>
      </c>
      <c r="T21" s="7" t="n">
        <v>0.0186</v>
      </c>
      <c r="U21" s="5" t="inlineStr">
        <is>
          <t>remained in weekly selection</t>
        </is>
      </c>
    </row>
    <row r="22">
      <c r="A22" s="5" t="inlineStr">
        <is>
          <t>Italy30</t>
        </is>
      </c>
      <c r="B22" s="5" t="inlineStr">
        <is>
          <t>2026-06-19</t>
        </is>
      </c>
      <c r="C22" s="5" t="inlineStr">
        <is>
          <t>EWI</t>
        </is>
      </c>
      <c r="D22" s="5" t="inlineStr">
        <is>
          <t>STMMI.MI</t>
        </is>
      </c>
      <c r="E22" s="5" t="inlineStr">
        <is>
          <t>STMicroelectronics</t>
        </is>
      </c>
      <c r="F22" s="5" t="inlineStr">
        <is>
          <t>Technology</t>
        </is>
      </c>
      <c r="G22" s="6" t="n">
        <v>60.95</v>
      </c>
      <c r="H22" s="5">
        <f>P14</f>
        <v/>
      </c>
      <c r="I22" s="8">
        <f>Q14</f>
        <v/>
      </c>
      <c r="J22" s="6">
        <f>I22*G22</f>
        <v/>
      </c>
      <c r="K22" s="7">
        <f>IF($J$25=0,0,J22/$J$25)</f>
        <v/>
      </c>
      <c r="L22" s="5" t="inlineStr">
        <is>
          <t>SELECTED</t>
        </is>
      </c>
      <c r="M22" s="7" t="n">
        <v>0.2</v>
      </c>
      <c r="N22" s="6">
        <f>M22*$J$25-J22</f>
        <v/>
      </c>
      <c r="O22" s="8">
        <f>IF(G22=0,0,N22/G22)</f>
        <v/>
      </c>
      <c r="P22" s="5">
        <f>IF(M22&gt;0,D22,"")</f>
        <v/>
      </c>
      <c r="Q22" s="8">
        <f>I22+O22</f>
        <v/>
      </c>
      <c r="R22" s="6">
        <f>Q22*G22</f>
        <v/>
      </c>
      <c r="S22" s="7">
        <f>IF($R$25=0,0,R22/$R$25)</f>
        <v/>
      </c>
      <c r="T22" s="7" t="n">
        <v>0.0186</v>
      </c>
      <c r="U22" s="5" t="inlineStr">
        <is>
          <t>remained in weekly selection</t>
        </is>
      </c>
    </row>
    <row r="23">
      <c r="A23" s="5" t="inlineStr">
        <is>
          <t>Italy30</t>
        </is>
      </c>
      <c r="B23" s="5" t="inlineStr">
        <is>
          <t>2026-06-19</t>
        </is>
      </c>
      <c r="C23" s="5" t="inlineStr">
        <is>
          <t>EWI</t>
        </is>
      </c>
      <c r="D23" s="5" t="inlineStr">
        <is>
          <t>TEN.MI</t>
        </is>
      </c>
      <c r="E23" s="5" t="inlineStr">
        <is>
          <t>Tenaris</t>
        </is>
      </c>
      <c r="F23" s="5" t="inlineStr">
        <is>
          <t>Energy</t>
        </is>
      </c>
      <c r="G23" s="6" t="n">
        <v>27.55</v>
      </c>
      <c r="H23" s="5">
        <f>P15</f>
        <v/>
      </c>
      <c r="I23" s="8">
        <f>Q15</f>
        <v/>
      </c>
      <c r="J23" s="6">
        <f>I23*G23</f>
        <v/>
      </c>
      <c r="K23" s="7">
        <f>IF($J$25=0,0,J23/$J$25)</f>
        <v/>
      </c>
      <c r="L23" s="5" t="inlineStr">
        <is>
          <t>SELECTED</t>
        </is>
      </c>
      <c r="M23" s="7" t="n">
        <v>0.2</v>
      </c>
      <c r="N23" s="6">
        <f>M23*$J$25-J23</f>
        <v/>
      </c>
      <c r="O23" s="8">
        <f>IF(G23=0,0,N23/G23)</f>
        <v/>
      </c>
      <c r="P23" s="5">
        <f>IF(M23&gt;0,D23,"")</f>
        <v/>
      </c>
      <c r="Q23" s="8">
        <f>I23+O23</f>
        <v/>
      </c>
      <c r="R23" s="6">
        <f>Q23*G23</f>
        <v/>
      </c>
      <c r="S23" s="7">
        <f>IF($R$25=0,0,R23/$R$25)</f>
        <v/>
      </c>
      <c r="T23" s="7" t="n">
        <v>0.0186</v>
      </c>
      <c r="U23" s="5" t="inlineStr">
        <is>
          <t>remained in weekly selection</t>
        </is>
      </c>
    </row>
    <row r="24">
      <c r="A24" s="5" t="inlineStr">
        <is>
          <t>Italy30</t>
        </is>
      </c>
      <c r="B24" s="5" t="inlineStr">
        <is>
          <t>2026-06-19</t>
        </is>
      </c>
      <c r="C24" s="5" t="inlineStr">
        <is>
          <t>EWI</t>
        </is>
      </c>
      <c r="D24" s="5" t="inlineStr">
        <is>
          <t>UNI.MI</t>
        </is>
      </c>
      <c r="E24" s="5" t="inlineStr">
        <is>
          <t>Unipol</t>
        </is>
      </c>
      <c r="F24" s="5" t="inlineStr">
        <is>
          <t>Financial Services</t>
        </is>
      </c>
      <c r="G24" s="6" t="n">
        <v>21.24</v>
      </c>
      <c r="H24" s="5">
        <f>P16</f>
        <v/>
      </c>
      <c r="I24" s="8">
        <f>Q16</f>
        <v/>
      </c>
      <c r="J24" s="6">
        <f>I24*G24</f>
        <v/>
      </c>
      <c r="K24" s="7">
        <f>IF($J$25=0,0,J24/$J$25)</f>
        <v/>
      </c>
      <c r="L24" s="5" t="inlineStr">
        <is>
          <t>WATCHLIST</t>
        </is>
      </c>
      <c r="M24" s="7" t="n">
        <v>0</v>
      </c>
      <c r="N24" s="6">
        <f>M24*$J$25-J24</f>
        <v/>
      </c>
      <c r="O24" s="8">
        <f>IF(G24=0,0,N24/G24)</f>
        <v/>
      </c>
      <c r="P24" s="5">
        <f>IF(M24&gt;0,D24,"")</f>
        <v/>
      </c>
      <c r="Q24" s="8">
        <f>I24+O24</f>
        <v/>
      </c>
      <c r="R24" s="6">
        <f>Q24*G24</f>
        <v/>
      </c>
      <c r="S24" s="7">
        <f>IF($R$25=0,0,R24/$R$25)</f>
        <v/>
      </c>
      <c r="T24" s="7" t="n">
        <v>0.0186</v>
      </c>
      <c r="U24" s="5" t="inlineStr"/>
    </row>
    <row r="25">
      <c r="A25" s="9" t="inlineStr">
        <is>
          <t>Italy30</t>
        </is>
      </c>
      <c r="B25" s="9" t="inlineStr">
        <is>
          <t>2026-06-19</t>
        </is>
      </c>
      <c r="C25" s="9" t="inlineStr">
        <is>
          <t>EWI</t>
        </is>
      </c>
      <c r="D25" s="9" t="inlineStr">
        <is>
          <t>Tot Portfolio</t>
        </is>
      </c>
      <c r="E25" s="9" t="inlineStr"/>
      <c r="F25" s="9" t="inlineStr"/>
      <c r="G25" s="10" t="inlineStr"/>
      <c r="H25" s="9" t="inlineStr"/>
      <c r="I25" s="11" t="inlineStr"/>
      <c r="J25" s="10">
        <f>SUM(J18:J24)</f>
        <v/>
      </c>
      <c r="K25" s="12">
        <f>SUM(K18:K24)</f>
        <v/>
      </c>
      <c r="L25" s="9" t="inlineStr">
        <is>
          <t>TOTAL</t>
        </is>
      </c>
      <c r="M25" s="12">
        <f>SUM(M18:M24)</f>
        <v/>
      </c>
      <c r="N25" s="10">
        <f>SUM(N18:N24)</f>
        <v/>
      </c>
      <c r="O25" s="11">
        <f>SUM(O18:O24)</f>
        <v/>
      </c>
      <c r="P25" s="9" t="inlineStr"/>
      <c r="Q25" s="11" t="inlineStr"/>
      <c r="R25" s="10">
        <f>SUM(R18:R24)</f>
        <v/>
      </c>
      <c r="S25" s="12">
        <f>SUM(S18:S24)</f>
        <v/>
      </c>
      <c r="T25" s="12" t="n">
        <v>0.0186</v>
      </c>
      <c r="U25" s="9" t="inlineStr"/>
    </row>
  </sheetData>
  <autoFilter ref="A1:U25"/>
  <conditionalFormatting sqref="N2:N25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O2:O25">
    <cfRule type="cellIs" priority="3" operator="lessThan" dxfId="0">
      <formula>0</formula>
    </cfRule>
    <cfRule type="cellIs" priority="4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28" customWidth="1" min="5" max="5"/>
    <col width="12" customWidth="1" min="6" max="6"/>
    <col width="13" customWidth="1" min="7" max="7"/>
    <col width="12" customWidth="1" min="8" max="8"/>
    <col width="14" customWidth="1" min="9" max="9"/>
    <col width="15" customWidth="1" min="10" max="10"/>
  </cols>
  <sheetData>
    <row r="1">
      <c r="A1" s="4" t="inlineStr">
        <is>
          <t>Market</t>
        </is>
      </c>
      <c r="B1" s="4" t="inlineStr">
        <is>
          <t>WeekEnding</t>
        </is>
      </c>
      <c r="C1" s="4" t="inlineStr">
        <is>
          <t>Benchmark</t>
        </is>
      </c>
      <c r="D1" s="4" t="inlineStr">
        <is>
          <t>Asset</t>
        </is>
      </c>
      <c r="E1" s="4" t="inlineStr">
        <is>
          <t>Company</t>
        </is>
      </c>
      <c r="F1" s="4" t="inlineStr">
        <is>
          <t>Sector</t>
        </is>
      </c>
      <c r="G1" s="4" t="inlineStr">
        <is>
          <t>last_price</t>
        </is>
      </c>
      <c r="H1" s="4" t="inlineStr">
        <is>
          <t>qty_after</t>
        </is>
      </c>
      <c r="I1" s="4" t="inlineStr">
        <is>
          <t>value_after</t>
        </is>
      </c>
      <c r="J1" s="4" t="inlineStr">
        <is>
          <t>weight_after</t>
        </is>
      </c>
    </row>
    <row r="2">
      <c r="A2" s="5" t="inlineStr">
        <is>
          <t>Italy30</t>
        </is>
      </c>
      <c r="B2" s="5" t="inlineStr">
        <is>
          <t>2026-06-05</t>
        </is>
      </c>
      <c r="C2" s="5" t="inlineStr">
        <is>
          <t>EWI</t>
        </is>
      </c>
      <c r="D2" s="5" t="inlineStr">
        <is>
          <t>PRY.MI</t>
        </is>
      </c>
      <c r="E2" s="5" t="inlineStr">
        <is>
          <t>Prysmian</t>
        </is>
      </c>
      <c r="F2" s="5" t="inlineStr">
        <is>
          <t>Industrials</t>
        </is>
      </c>
      <c r="G2" s="6">
        <f>Rebalance_Audit!G2</f>
        <v/>
      </c>
      <c r="H2" s="8">
        <f>Rebalance_Audit!Q2</f>
        <v/>
      </c>
      <c r="I2" s="6">
        <f>Rebalance_Audit!R2</f>
        <v/>
      </c>
      <c r="J2" s="7">
        <f>Rebalance_Audit!S2</f>
        <v/>
      </c>
    </row>
    <row r="3">
      <c r="A3" s="5" t="inlineStr">
        <is>
          <t>Italy30</t>
        </is>
      </c>
      <c r="B3" s="5" t="inlineStr">
        <is>
          <t>2026-06-05</t>
        </is>
      </c>
      <c r="C3" s="5" t="inlineStr">
        <is>
          <t>EWI</t>
        </is>
      </c>
      <c r="D3" s="5" t="inlineStr">
        <is>
          <t>TIT.MI</t>
        </is>
      </c>
      <c r="E3" s="5" t="inlineStr">
        <is>
          <t>Telecom Italia</t>
        </is>
      </c>
      <c r="F3" s="5" t="inlineStr">
        <is>
          <t>Communication Services</t>
        </is>
      </c>
      <c r="G3" s="6">
        <f>Rebalance_Audit!G3</f>
        <v/>
      </c>
      <c r="H3" s="8">
        <f>Rebalance_Audit!Q3</f>
        <v/>
      </c>
      <c r="I3" s="6">
        <f>Rebalance_Audit!R3</f>
        <v/>
      </c>
      <c r="J3" s="7">
        <f>Rebalance_Audit!S3</f>
        <v/>
      </c>
    </row>
    <row r="4">
      <c r="A4" s="5" t="inlineStr">
        <is>
          <t>Italy30</t>
        </is>
      </c>
      <c r="B4" s="5" t="inlineStr">
        <is>
          <t>2026-06-05</t>
        </is>
      </c>
      <c r="C4" s="5" t="inlineStr">
        <is>
          <t>EWI</t>
        </is>
      </c>
      <c r="D4" s="5" t="inlineStr">
        <is>
          <t>ENI.MI</t>
        </is>
      </c>
      <c r="E4" s="5" t="inlineStr">
        <is>
          <t>Eni</t>
        </is>
      </c>
      <c r="F4" s="5" t="inlineStr">
        <is>
          <t>Energy</t>
        </is>
      </c>
      <c r="G4" s="6">
        <f>Rebalance_Audit!G4</f>
        <v/>
      </c>
      <c r="H4" s="8">
        <f>Rebalance_Audit!Q4</f>
        <v/>
      </c>
      <c r="I4" s="6">
        <f>Rebalance_Audit!R4</f>
        <v/>
      </c>
      <c r="J4" s="7">
        <f>Rebalance_Audit!S4</f>
        <v/>
      </c>
    </row>
    <row r="5">
      <c r="A5" s="5" t="inlineStr">
        <is>
          <t>Italy30</t>
        </is>
      </c>
      <c r="B5" s="5" t="inlineStr">
        <is>
          <t>2026-06-05</t>
        </is>
      </c>
      <c r="C5" s="5" t="inlineStr">
        <is>
          <t>EWI</t>
        </is>
      </c>
      <c r="D5" s="5" t="inlineStr">
        <is>
          <t>SRG.MI</t>
        </is>
      </c>
      <c r="E5" s="5" t="inlineStr">
        <is>
          <t>Snam</t>
        </is>
      </c>
      <c r="F5" s="5" t="inlineStr">
        <is>
          <t>Utilities</t>
        </is>
      </c>
      <c r="G5" s="6">
        <f>Rebalance_Audit!G5</f>
        <v/>
      </c>
      <c r="H5" s="8">
        <f>Rebalance_Audit!Q5</f>
        <v/>
      </c>
      <c r="I5" s="6">
        <f>Rebalance_Audit!R5</f>
        <v/>
      </c>
      <c r="J5" s="7">
        <f>Rebalance_Audit!S5</f>
        <v/>
      </c>
    </row>
    <row r="6">
      <c r="A6" s="5" t="inlineStr">
        <is>
          <t>Italy30</t>
        </is>
      </c>
      <c r="B6" s="5" t="inlineStr">
        <is>
          <t>2026-06-05</t>
        </is>
      </c>
      <c r="C6" s="5" t="inlineStr">
        <is>
          <t>EWI</t>
        </is>
      </c>
      <c r="D6" s="5" t="inlineStr">
        <is>
          <t>STMMI.MI</t>
        </is>
      </c>
      <c r="E6" s="5" t="inlineStr">
        <is>
          <t>STMicroelectronics</t>
        </is>
      </c>
      <c r="F6" s="5" t="inlineStr">
        <is>
          <t>Technology</t>
        </is>
      </c>
      <c r="G6" s="6">
        <f>Rebalance_Audit!G6</f>
        <v/>
      </c>
      <c r="H6" s="8">
        <f>Rebalance_Audit!Q6</f>
        <v/>
      </c>
      <c r="I6" s="6">
        <f>Rebalance_Audit!R6</f>
        <v/>
      </c>
      <c r="J6" s="7">
        <f>Rebalance_Audit!S6</f>
        <v/>
      </c>
    </row>
    <row r="7">
      <c r="A7" s="5" t="inlineStr">
        <is>
          <t>Italy30</t>
        </is>
      </c>
      <c r="B7" s="5" t="inlineStr">
        <is>
          <t>2026-06-12</t>
        </is>
      </c>
      <c r="C7" s="5" t="inlineStr">
        <is>
          <t>EWI</t>
        </is>
      </c>
      <c r="D7" s="5" t="inlineStr">
        <is>
          <t>PRY.MI</t>
        </is>
      </c>
      <c r="E7" s="5" t="inlineStr">
        <is>
          <t>Prysmian</t>
        </is>
      </c>
      <c r="F7" s="5" t="inlineStr">
        <is>
          <t>Industrials</t>
        </is>
      </c>
      <c r="G7" s="6">
        <f>Rebalance_Audit!G10</f>
        <v/>
      </c>
      <c r="H7" s="8">
        <f>Rebalance_Audit!Q10</f>
        <v/>
      </c>
      <c r="I7" s="6">
        <f>Rebalance_Audit!R10</f>
        <v/>
      </c>
      <c r="J7" s="7">
        <f>Rebalance_Audit!S10</f>
        <v/>
      </c>
    </row>
    <row r="8">
      <c r="A8" s="5" t="inlineStr">
        <is>
          <t>Italy30</t>
        </is>
      </c>
      <c r="B8" s="5" t="inlineStr">
        <is>
          <t>2026-06-12</t>
        </is>
      </c>
      <c r="C8" s="5" t="inlineStr">
        <is>
          <t>EWI</t>
        </is>
      </c>
      <c r="D8" s="5" t="inlineStr">
        <is>
          <t>TIT.MI</t>
        </is>
      </c>
      <c r="E8" s="5" t="inlineStr">
        <is>
          <t>Telecom Italia</t>
        </is>
      </c>
      <c r="F8" s="5" t="inlineStr">
        <is>
          <t>Communication Services</t>
        </is>
      </c>
      <c r="G8" s="6">
        <f>Rebalance_Audit!G11</f>
        <v/>
      </c>
      <c r="H8" s="8">
        <f>Rebalance_Audit!Q11</f>
        <v/>
      </c>
      <c r="I8" s="6">
        <f>Rebalance_Audit!R11</f>
        <v/>
      </c>
      <c r="J8" s="7">
        <f>Rebalance_Audit!S11</f>
        <v/>
      </c>
    </row>
    <row r="9">
      <c r="A9" s="5" t="inlineStr">
        <is>
          <t>Italy30</t>
        </is>
      </c>
      <c r="B9" s="5" t="inlineStr">
        <is>
          <t>2026-06-12</t>
        </is>
      </c>
      <c r="C9" s="5" t="inlineStr">
        <is>
          <t>EWI</t>
        </is>
      </c>
      <c r="D9" s="5" t="inlineStr">
        <is>
          <t>SRG.MI</t>
        </is>
      </c>
      <c r="E9" s="5" t="inlineStr">
        <is>
          <t>Snam</t>
        </is>
      </c>
      <c r="F9" s="5" t="inlineStr">
        <is>
          <t>Utilities</t>
        </is>
      </c>
      <c r="G9" s="6">
        <f>Rebalance_Audit!G13</f>
        <v/>
      </c>
      <c r="H9" s="8">
        <f>Rebalance_Audit!Q13</f>
        <v/>
      </c>
      <c r="I9" s="6">
        <f>Rebalance_Audit!R13</f>
        <v/>
      </c>
      <c r="J9" s="7">
        <f>Rebalance_Audit!S13</f>
        <v/>
      </c>
    </row>
    <row r="10">
      <c r="A10" s="5" t="inlineStr">
        <is>
          <t>Italy30</t>
        </is>
      </c>
      <c r="B10" s="5" t="inlineStr">
        <is>
          <t>2026-06-12</t>
        </is>
      </c>
      <c r="C10" s="5" t="inlineStr">
        <is>
          <t>EWI</t>
        </is>
      </c>
      <c r="D10" s="5" t="inlineStr">
        <is>
          <t>STMMI.MI</t>
        </is>
      </c>
      <c r="E10" s="5" t="inlineStr">
        <is>
          <t>STMicroelectronics</t>
        </is>
      </c>
      <c r="F10" s="5" t="inlineStr">
        <is>
          <t>Technology</t>
        </is>
      </c>
      <c r="G10" s="6">
        <f>Rebalance_Audit!G14</f>
        <v/>
      </c>
      <c r="H10" s="8">
        <f>Rebalance_Audit!Q14</f>
        <v/>
      </c>
      <c r="I10" s="6">
        <f>Rebalance_Audit!R14</f>
        <v/>
      </c>
      <c r="J10" s="7">
        <f>Rebalance_Audit!S14</f>
        <v/>
      </c>
    </row>
    <row r="11">
      <c r="A11" s="5" t="inlineStr">
        <is>
          <t>Italy30</t>
        </is>
      </c>
      <c r="B11" s="5" t="inlineStr">
        <is>
          <t>2026-06-12</t>
        </is>
      </c>
      <c r="C11" s="5" t="inlineStr">
        <is>
          <t>EWI</t>
        </is>
      </c>
      <c r="D11" s="5" t="inlineStr">
        <is>
          <t>TEN.MI</t>
        </is>
      </c>
      <c r="E11" s="5" t="inlineStr">
        <is>
          <t>Tenaris</t>
        </is>
      </c>
      <c r="F11" s="5" t="inlineStr">
        <is>
          <t>Energy</t>
        </is>
      </c>
      <c r="G11" s="6">
        <f>Rebalance_Audit!G15</f>
        <v/>
      </c>
      <c r="H11" s="8">
        <f>Rebalance_Audit!Q15</f>
        <v/>
      </c>
      <c r="I11" s="6">
        <f>Rebalance_Audit!R15</f>
        <v/>
      </c>
      <c r="J11" s="7">
        <f>Rebalance_Audit!S15</f>
        <v/>
      </c>
    </row>
    <row r="12">
      <c r="A12" s="5" t="inlineStr">
        <is>
          <t>Italy30</t>
        </is>
      </c>
      <c r="B12" s="5" t="inlineStr">
        <is>
          <t>2026-06-19</t>
        </is>
      </c>
      <c r="C12" s="5" t="inlineStr">
        <is>
          <t>EWI</t>
        </is>
      </c>
      <c r="D12" s="5" t="inlineStr">
        <is>
          <t>PRY.MI</t>
        </is>
      </c>
      <c r="E12" s="5" t="inlineStr">
        <is>
          <t>Prysmian</t>
        </is>
      </c>
      <c r="F12" s="5" t="inlineStr">
        <is>
          <t>Industrials</t>
        </is>
      </c>
      <c r="G12" s="6">
        <f>Rebalance_Audit!G18</f>
        <v/>
      </c>
      <c r="H12" s="8">
        <f>Rebalance_Audit!Q18</f>
        <v/>
      </c>
      <c r="I12" s="6">
        <f>Rebalance_Audit!R18</f>
        <v/>
      </c>
      <c r="J12" s="7">
        <f>Rebalance_Audit!S18</f>
        <v/>
      </c>
    </row>
    <row r="13">
      <c r="A13" s="5" t="inlineStr">
        <is>
          <t>Italy30</t>
        </is>
      </c>
      <c r="B13" s="5" t="inlineStr">
        <is>
          <t>2026-06-19</t>
        </is>
      </c>
      <c r="C13" s="5" t="inlineStr">
        <is>
          <t>EWI</t>
        </is>
      </c>
      <c r="D13" s="5" t="inlineStr">
        <is>
          <t>TIT.MI</t>
        </is>
      </c>
      <c r="E13" s="5" t="inlineStr">
        <is>
          <t>Telecom Italia</t>
        </is>
      </c>
      <c r="F13" s="5" t="inlineStr">
        <is>
          <t>Communication Services</t>
        </is>
      </c>
      <c r="G13" s="6">
        <f>Rebalance_Audit!G19</f>
        <v/>
      </c>
      <c r="H13" s="8">
        <f>Rebalance_Audit!Q19</f>
        <v/>
      </c>
      <c r="I13" s="6">
        <f>Rebalance_Audit!R19</f>
        <v/>
      </c>
      <c r="J13" s="7">
        <f>Rebalance_Audit!S19</f>
        <v/>
      </c>
    </row>
    <row r="14">
      <c r="A14" s="5" t="inlineStr">
        <is>
          <t>Italy30</t>
        </is>
      </c>
      <c r="B14" s="5" t="inlineStr">
        <is>
          <t>2026-06-19</t>
        </is>
      </c>
      <c r="C14" s="5" t="inlineStr">
        <is>
          <t>EWI</t>
        </is>
      </c>
      <c r="D14" s="5" t="inlineStr">
        <is>
          <t>SRG.MI</t>
        </is>
      </c>
      <c r="E14" s="5" t="inlineStr">
        <is>
          <t>Snam</t>
        </is>
      </c>
      <c r="F14" s="5" t="inlineStr">
        <is>
          <t>Utilities</t>
        </is>
      </c>
      <c r="G14" s="6">
        <f>Rebalance_Audit!G21</f>
        <v/>
      </c>
      <c r="H14" s="8">
        <f>Rebalance_Audit!Q21</f>
        <v/>
      </c>
      <c r="I14" s="6">
        <f>Rebalance_Audit!R21</f>
        <v/>
      </c>
      <c r="J14" s="7">
        <f>Rebalance_Audit!S21</f>
        <v/>
      </c>
    </row>
    <row r="15">
      <c r="A15" s="5" t="inlineStr">
        <is>
          <t>Italy30</t>
        </is>
      </c>
      <c r="B15" s="5" t="inlineStr">
        <is>
          <t>2026-06-19</t>
        </is>
      </c>
      <c r="C15" s="5" t="inlineStr">
        <is>
          <t>EWI</t>
        </is>
      </c>
      <c r="D15" s="5" t="inlineStr">
        <is>
          <t>STMMI.MI</t>
        </is>
      </c>
      <c r="E15" s="5" t="inlineStr">
        <is>
          <t>STMicroelectronics</t>
        </is>
      </c>
      <c r="F15" s="5" t="inlineStr">
        <is>
          <t>Technology</t>
        </is>
      </c>
      <c r="G15" s="6">
        <f>Rebalance_Audit!G22</f>
        <v/>
      </c>
      <c r="H15" s="8">
        <f>Rebalance_Audit!Q22</f>
        <v/>
      </c>
      <c r="I15" s="6">
        <f>Rebalance_Audit!R22</f>
        <v/>
      </c>
      <c r="J15" s="7">
        <f>Rebalance_Audit!S22</f>
        <v/>
      </c>
    </row>
    <row r="16">
      <c r="A16" s="5" t="inlineStr">
        <is>
          <t>Italy30</t>
        </is>
      </c>
      <c r="B16" s="5" t="inlineStr">
        <is>
          <t>2026-06-19</t>
        </is>
      </c>
      <c r="C16" s="5" t="inlineStr">
        <is>
          <t>EWI</t>
        </is>
      </c>
      <c r="D16" s="5" t="inlineStr">
        <is>
          <t>TEN.MI</t>
        </is>
      </c>
      <c r="E16" s="5" t="inlineStr">
        <is>
          <t>Tenaris</t>
        </is>
      </c>
      <c r="F16" s="5" t="inlineStr">
        <is>
          <t>Energy</t>
        </is>
      </c>
      <c r="G16" s="6">
        <f>Rebalance_Audit!G23</f>
        <v/>
      </c>
      <c r="H16" s="8">
        <f>Rebalance_Audit!Q23</f>
        <v/>
      </c>
      <c r="I16" s="6">
        <f>Rebalance_Audit!R23</f>
        <v/>
      </c>
      <c r="J16" s="7">
        <f>Rebalance_Audit!S23</f>
        <v/>
      </c>
    </row>
  </sheetData>
  <autoFilter ref="A1:J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2026-07-01T14:58:10Z</dcterms:created>
  <dcterms:modified xmlns:dcterms="http://purl.org/dc/terms/" xmlns:xsi="http://www.w3.org/2001/XMLSchema-instance" xsi:type="dcterms:W3CDTF">2026-07-01T14:58:11Z</dcterms:modified>
</cp:coreProperties>
</file>